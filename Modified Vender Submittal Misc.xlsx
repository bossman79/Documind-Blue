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ECBDF2DE-DB7D-4A03-9E9A-E96C30453B1A}" xr6:coauthVersionLast="47" xr6:coauthVersionMax="47" xr10:uidLastSave="{00000000-0000-0000-0000-000000000000}"/>
  <bookViews>
    <workbookView xWindow="2730" yWindow="1995" windowWidth="21600" windowHeight="11835" xr2:uid="{00000000-000D-0000-FFFF-FFFF00000000}"/>
  </bookViews>
  <sheets>
    <sheet name="1. Submittal" sheetId="1" r:id="rId1"/>
    <sheet name="Sheet1" sheetId="2" r:id="rId2"/>
    <sheet name="2. Buzzi Admin Onl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66" i="1" l="1"/>
  <c r="O1065" i="1"/>
  <c r="O1064" i="1"/>
  <c r="O1063" i="1"/>
  <c r="O1062" i="1"/>
  <c r="O1061" i="1"/>
  <c r="O1060" i="1"/>
  <c r="O1059" i="1"/>
  <c r="O1058" i="1"/>
  <c r="O1057" i="1"/>
  <c r="O1056" i="1"/>
  <c r="O1055" i="1"/>
  <c r="O1054" i="1"/>
  <c r="O1053" i="1"/>
  <c r="O1052" i="1"/>
  <c r="O1051" i="1"/>
  <c r="O1050" i="1"/>
  <c r="O1049" i="1"/>
  <c r="O1048" i="1"/>
  <c r="O1047" i="1"/>
  <c r="O1046" i="1"/>
  <c r="O1045" i="1"/>
  <c r="O1044" i="1"/>
  <c r="O1043" i="1"/>
  <c r="O1042" i="1"/>
  <c r="O1041" i="1"/>
  <c r="O1040" i="1"/>
  <c r="O1039" i="1"/>
  <c r="O1038" i="1"/>
  <c r="O1037" i="1"/>
  <c r="O1036" i="1"/>
  <c r="O1035" i="1"/>
  <c r="O1034" i="1"/>
  <c r="O1033" i="1"/>
  <c r="O1032" i="1"/>
  <c r="O1031" i="1"/>
  <c r="O1030" i="1"/>
  <c r="O1029" i="1"/>
  <c r="O1028" i="1"/>
  <c r="O1027" i="1"/>
  <c r="O1026" i="1"/>
  <c r="O1025" i="1"/>
  <c r="O1024" i="1"/>
  <c r="O1023" i="1"/>
  <c r="O1022" i="1"/>
  <c r="O1021" i="1"/>
  <c r="O1020" i="1"/>
  <c r="O1019" i="1"/>
  <c r="O1018" i="1"/>
  <c r="O1017" i="1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N501" i="1"/>
  <c r="O500" i="1"/>
  <c r="N500" i="1"/>
  <c r="O499" i="1"/>
  <c r="N499" i="1"/>
  <c r="O498" i="1"/>
  <c r="N498" i="1"/>
  <c r="O497" i="1"/>
  <c r="N497" i="1"/>
  <c r="O496" i="1"/>
  <c r="N496" i="1"/>
  <c r="O495" i="1"/>
  <c r="N495" i="1"/>
  <c r="O494" i="1"/>
  <c r="N494" i="1"/>
  <c r="O493" i="1"/>
  <c r="N493" i="1"/>
  <c r="O492" i="1"/>
  <c r="N492" i="1"/>
  <c r="O491" i="1"/>
  <c r="N491" i="1"/>
  <c r="O490" i="1"/>
  <c r="N490" i="1"/>
  <c r="O489" i="1"/>
  <c r="N489" i="1"/>
  <c r="O488" i="1"/>
  <c r="N488" i="1"/>
  <c r="O487" i="1"/>
  <c r="N487" i="1"/>
  <c r="O486" i="1"/>
  <c r="N486" i="1"/>
  <c r="O485" i="1"/>
  <c r="N485" i="1"/>
  <c r="O484" i="1"/>
  <c r="N484" i="1"/>
  <c r="O483" i="1"/>
  <c r="N483" i="1"/>
  <c r="O482" i="1"/>
  <c r="N482" i="1"/>
  <c r="O481" i="1"/>
  <c r="N481" i="1"/>
  <c r="O480" i="1"/>
  <c r="N480" i="1"/>
  <c r="O479" i="1"/>
  <c r="N479" i="1"/>
  <c r="O478" i="1"/>
  <c r="N478" i="1"/>
  <c r="O477" i="1"/>
  <c r="N477" i="1"/>
  <c r="O476" i="1"/>
  <c r="N476" i="1"/>
  <c r="O475" i="1"/>
  <c r="N475" i="1"/>
  <c r="O474" i="1"/>
  <c r="N474" i="1"/>
  <c r="O473" i="1"/>
  <c r="N473" i="1"/>
  <c r="O472" i="1"/>
  <c r="N472" i="1"/>
  <c r="O471" i="1"/>
  <c r="N471" i="1"/>
  <c r="O470" i="1"/>
  <c r="N470" i="1"/>
  <c r="O469" i="1"/>
  <c r="N469" i="1"/>
  <c r="O468" i="1"/>
  <c r="N468" i="1"/>
  <c r="O467" i="1"/>
  <c r="N467" i="1"/>
  <c r="O466" i="1"/>
  <c r="N466" i="1"/>
  <c r="O465" i="1"/>
  <c r="N465" i="1"/>
  <c r="O464" i="1"/>
  <c r="N464" i="1"/>
  <c r="O463" i="1"/>
  <c r="N463" i="1"/>
  <c r="O462" i="1"/>
  <c r="N462" i="1"/>
  <c r="O461" i="1"/>
  <c r="N461" i="1"/>
  <c r="O460" i="1"/>
  <c r="N460" i="1"/>
  <c r="O459" i="1"/>
  <c r="N459" i="1"/>
  <c r="O458" i="1"/>
  <c r="N458" i="1"/>
  <c r="O457" i="1"/>
  <c r="N457" i="1"/>
  <c r="O456" i="1"/>
  <c r="N456" i="1"/>
  <c r="O455" i="1"/>
  <c r="N455" i="1"/>
  <c r="O454" i="1"/>
  <c r="N454" i="1"/>
  <c r="O453" i="1"/>
  <c r="N453" i="1"/>
  <c r="O452" i="1"/>
  <c r="N452" i="1"/>
  <c r="O451" i="1"/>
  <c r="N451" i="1"/>
  <c r="O450" i="1"/>
  <c r="N450" i="1"/>
  <c r="O449" i="1"/>
  <c r="N449" i="1"/>
  <c r="O448" i="1"/>
  <c r="N448" i="1"/>
  <c r="O447" i="1"/>
  <c r="N447" i="1"/>
  <c r="O446" i="1"/>
  <c r="N446" i="1"/>
  <c r="O445" i="1"/>
  <c r="N445" i="1"/>
  <c r="O444" i="1"/>
  <c r="N444" i="1"/>
  <c r="O443" i="1"/>
  <c r="N443" i="1"/>
  <c r="O442" i="1"/>
  <c r="N442" i="1"/>
  <c r="O441" i="1"/>
  <c r="N441" i="1"/>
  <c r="O440" i="1"/>
  <c r="N440" i="1"/>
  <c r="O439" i="1"/>
  <c r="N439" i="1"/>
  <c r="O438" i="1"/>
  <c r="N438" i="1"/>
  <c r="O437" i="1"/>
  <c r="N437" i="1"/>
  <c r="O436" i="1"/>
  <c r="N436" i="1"/>
  <c r="O435" i="1"/>
  <c r="N435" i="1"/>
  <c r="O434" i="1"/>
  <c r="N434" i="1"/>
  <c r="O433" i="1"/>
  <c r="N433" i="1"/>
  <c r="O432" i="1"/>
  <c r="N432" i="1"/>
  <c r="O431" i="1"/>
  <c r="N431" i="1"/>
  <c r="O430" i="1"/>
  <c r="N430" i="1"/>
  <c r="O429" i="1"/>
  <c r="N429" i="1"/>
  <c r="O428" i="1"/>
  <c r="N428" i="1"/>
  <c r="O427" i="1"/>
  <c r="N427" i="1"/>
  <c r="O426" i="1"/>
  <c r="N426" i="1"/>
  <c r="O425" i="1"/>
  <c r="N425" i="1"/>
  <c r="O424" i="1"/>
  <c r="N424" i="1"/>
  <c r="O423" i="1"/>
  <c r="N423" i="1"/>
  <c r="O422" i="1"/>
  <c r="N422" i="1"/>
  <c r="O421" i="1"/>
  <c r="N421" i="1"/>
  <c r="O420" i="1"/>
  <c r="N420" i="1"/>
  <c r="O419" i="1"/>
  <c r="N419" i="1"/>
  <c r="O418" i="1"/>
  <c r="N418" i="1"/>
  <c r="O417" i="1"/>
  <c r="N417" i="1"/>
  <c r="O416" i="1"/>
  <c r="N416" i="1"/>
  <c r="O415" i="1"/>
  <c r="N415" i="1"/>
  <c r="O414" i="1"/>
  <c r="N414" i="1"/>
  <c r="O413" i="1"/>
  <c r="N413" i="1"/>
  <c r="O412" i="1"/>
  <c r="N412" i="1"/>
  <c r="O411" i="1"/>
  <c r="N411" i="1"/>
  <c r="O410" i="1"/>
  <c r="N410" i="1"/>
  <c r="O409" i="1"/>
  <c r="N409" i="1"/>
  <c r="O408" i="1"/>
  <c r="N408" i="1"/>
  <c r="O407" i="1"/>
  <c r="N407" i="1"/>
  <c r="O406" i="1"/>
  <c r="N406" i="1"/>
  <c r="O405" i="1"/>
  <c r="N405" i="1"/>
  <c r="O404" i="1"/>
  <c r="N404" i="1"/>
  <c r="O403" i="1"/>
  <c r="N403" i="1"/>
  <c r="O402" i="1"/>
  <c r="N402" i="1"/>
  <c r="O401" i="1"/>
  <c r="N401" i="1"/>
  <c r="O400" i="1"/>
  <c r="N400" i="1"/>
  <c r="O399" i="1"/>
  <c r="N399" i="1"/>
  <c r="O398" i="1"/>
  <c r="N398" i="1"/>
  <c r="O397" i="1"/>
  <c r="N397" i="1"/>
  <c r="O396" i="1"/>
  <c r="N396" i="1"/>
  <c r="O395" i="1"/>
  <c r="N395" i="1"/>
  <c r="O394" i="1"/>
  <c r="N394" i="1"/>
  <c r="O393" i="1"/>
  <c r="N393" i="1"/>
  <c r="O392" i="1"/>
  <c r="N392" i="1"/>
  <c r="O391" i="1"/>
  <c r="N391" i="1"/>
  <c r="O390" i="1"/>
  <c r="N390" i="1"/>
  <c r="O389" i="1"/>
  <c r="N389" i="1"/>
  <c r="O388" i="1"/>
  <c r="N388" i="1"/>
  <c r="O387" i="1"/>
  <c r="N387" i="1"/>
  <c r="O386" i="1"/>
  <c r="N386" i="1"/>
  <c r="O385" i="1"/>
  <c r="N385" i="1"/>
  <c r="O384" i="1"/>
  <c r="N384" i="1"/>
  <c r="O383" i="1"/>
  <c r="N383" i="1"/>
  <c r="O382" i="1"/>
  <c r="N382" i="1"/>
  <c r="O381" i="1"/>
  <c r="N381" i="1"/>
  <c r="O380" i="1"/>
  <c r="N380" i="1"/>
  <c r="O379" i="1"/>
  <c r="N379" i="1"/>
  <c r="O378" i="1"/>
  <c r="N378" i="1"/>
  <c r="O377" i="1"/>
  <c r="N377" i="1"/>
  <c r="O376" i="1"/>
  <c r="N376" i="1"/>
  <c r="O375" i="1"/>
  <c r="N375" i="1"/>
  <c r="O374" i="1"/>
  <c r="N374" i="1"/>
  <c r="O373" i="1"/>
  <c r="N373" i="1"/>
  <c r="O372" i="1"/>
  <c r="N372" i="1"/>
  <c r="O371" i="1"/>
  <c r="N371" i="1"/>
  <c r="O370" i="1"/>
  <c r="N370" i="1"/>
  <c r="O369" i="1"/>
  <c r="N369" i="1"/>
  <c r="O368" i="1"/>
  <c r="N368" i="1"/>
  <c r="O367" i="1"/>
  <c r="N367" i="1"/>
  <c r="O366" i="1"/>
  <c r="N366" i="1"/>
  <c r="O365" i="1"/>
  <c r="N365" i="1"/>
  <c r="O364" i="1"/>
  <c r="N364" i="1"/>
  <c r="O363" i="1"/>
  <c r="N363" i="1"/>
  <c r="O362" i="1"/>
  <c r="N362" i="1"/>
  <c r="O361" i="1"/>
  <c r="N361" i="1"/>
  <c r="O360" i="1"/>
  <c r="N360" i="1"/>
  <c r="O359" i="1"/>
  <c r="N359" i="1"/>
  <c r="O358" i="1"/>
  <c r="N358" i="1"/>
  <c r="O357" i="1"/>
  <c r="N357" i="1"/>
  <c r="O356" i="1"/>
  <c r="N356" i="1"/>
  <c r="O355" i="1"/>
  <c r="N355" i="1"/>
  <c r="O354" i="1"/>
  <c r="N354" i="1"/>
  <c r="O353" i="1"/>
  <c r="N353" i="1"/>
  <c r="O352" i="1"/>
  <c r="N352" i="1"/>
  <c r="O351" i="1"/>
  <c r="N351" i="1"/>
  <c r="O350" i="1"/>
  <c r="N350" i="1"/>
  <c r="O349" i="1"/>
  <c r="N349" i="1"/>
  <c r="O348" i="1"/>
  <c r="N348" i="1"/>
  <c r="O347" i="1"/>
  <c r="N347" i="1"/>
  <c r="O346" i="1"/>
  <c r="N346" i="1"/>
  <c r="O345" i="1"/>
  <c r="N345" i="1"/>
  <c r="O344" i="1"/>
  <c r="N344" i="1"/>
  <c r="O343" i="1"/>
  <c r="N343" i="1"/>
  <c r="O342" i="1"/>
  <c r="N342" i="1"/>
  <c r="O341" i="1"/>
  <c r="N341" i="1"/>
  <c r="O340" i="1"/>
  <c r="N340" i="1"/>
  <c r="O339" i="1"/>
  <c r="N339" i="1"/>
  <c r="O338" i="1"/>
  <c r="N338" i="1"/>
  <c r="O337" i="1"/>
  <c r="N337" i="1"/>
  <c r="O336" i="1"/>
  <c r="N336" i="1"/>
  <c r="O335" i="1"/>
  <c r="N335" i="1"/>
  <c r="O334" i="1"/>
  <c r="N334" i="1"/>
  <c r="O333" i="1"/>
  <c r="N333" i="1"/>
  <c r="O332" i="1"/>
  <c r="N332" i="1"/>
  <c r="O331" i="1"/>
  <c r="N331" i="1"/>
  <c r="O330" i="1"/>
  <c r="N330" i="1"/>
  <c r="O329" i="1"/>
  <c r="N329" i="1"/>
  <c r="O328" i="1"/>
  <c r="N328" i="1"/>
  <c r="O327" i="1"/>
  <c r="N327" i="1"/>
  <c r="O326" i="1"/>
  <c r="N326" i="1"/>
  <c r="O325" i="1"/>
  <c r="N325" i="1"/>
  <c r="O324" i="1"/>
  <c r="N324" i="1"/>
  <c r="O323" i="1"/>
  <c r="N323" i="1"/>
  <c r="O322" i="1"/>
  <c r="N322" i="1"/>
  <c r="O321" i="1"/>
  <c r="N321" i="1"/>
  <c r="O320" i="1"/>
  <c r="N320" i="1"/>
  <c r="O319" i="1"/>
  <c r="N319" i="1"/>
  <c r="O318" i="1"/>
  <c r="N318" i="1"/>
  <c r="O317" i="1"/>
  <c r="N317" i="1"/>
  <c r="O316" i="1"/>
  <c r="N316" i="1"/>
  <c r="O315" i="1"/>
  <c r="N315" i="1"/>
  <c r="O314" i="1"/>
  <c r="N314" i="1"/>
  <c r="O313" i="1"/>
  <c r="N313" i="1"/>
  <c r="O312" i="1"/>
  <c r="N312" i="1"/>
  <c r="O311" i="1"/>
  <c r="N311" i="1"/>
  <c r="O310" i="1"/>
  <c r="N310" i="1"/>
  <c r="O309" i="1"/>
  <c r="N309" i="1"/>
  <c r="O308" i="1"/>
  <c r="N308" i="1"/>
  <c r="O307" i="1"/>
  <c r="N307" i="1"/>
  <c r="O306" i="1"/>
  <c r="N306" i="1"/>
  <c r="O305" i="1"/>
  <c r="N305" i="1"/>
  <c r="O304" i="1"/>
  <c r="N304" i="1"/>
  <c r="O303" i="1"/>
  <c r="N303" i="1"/>
  <c r="O302" i="1"/>
  <c r="N302" i="1"/>
  <c r="O301" i="1"/>
  <c r="N301" i="1"/>
  <c r="O300" i="1"/>
  <c r="N300" i="1"/>
  <c r="O299" i="1"/>
  <c r="N299" i="1"/>
  <c r="O298" i="1"/>
  <c r="N298" i="1"/>
  <c r="O297" i="1"/>
  <c r="N297" i="1"/>
  <c r="O296" i="1"/>
  <c r="N296" i="1"/>
  <c r="O295" i="1"/>
  <c r="N295" i="1"/>
  <c r="O294" i="1"/>
  <c r="N294" i="1"/>
  <c r="O293" i="1"/>
  <c r="N293" i="1"/>
  <c r="O292" i="1"/>
  <c r="N292" i="1"/>
  <c r="O291" i="1"/>
  <c r="N291" i="1"/>
  <c r="O290" i="1"/>
  <c r="N290" i="1"/>
  <c r="O289" i="1"/>
  <c r="N289" i="1"/>
  <c r="O288" i="1"/>
  <c r="N288" i="1"/>
  <c r="O287" i="1"/>
  <c r="N287" i="1"/>
  <c r="O286" i="1"/>
  <c r="N286" i="1"/>
  <c r="O285" i="1"/>
  <c r="N285" i="1"/>
  <c r="O284" i="1"/>
  <c r="N284" i="1"/>
  <c r="O283" i="1"/>
  <c r="N283" i="1"/>
  <c r="O282" i="1"/>
  <c r="N282" i="1"/>
  <c r="O281" i="1"/>
  <c r="N281" i="1"/>
  <c r="O280" i="1"/>
  <c r="N280" i="1"/>
  <c r="O279" i="1"/>
  <c r="N279" i="1"/>
  <c r="O278" i="1"/>
  <c r="N278" i="1"/>
  <c r="O277" i="1"/>
  <c r="N277" i="1"/>
  <c r="O276" i="1"/>
  <c r="N276" i="1"/>
  <c r="O275" i="1"/>
  <c r="N275" i="1"/>
  <c r="O274" i="1"/>
  <c r="N274" i="1"/>
  <c r="O273" i="1"/>
  <c r="N273" i="1"/>
  <c r="O272" i="1"/>
  <c r="N272" i="1"/>
  <c r="O271" i="1"/>
  <c r="N271" i="1"/>
  <c r="O270" i="1"/>
  <c r="N270" i="1"/>
  <c r="O269" i="1"/>
  <c r="N269" i="1"/>
  <c r="O268" i="1"/>
  <c r="N268" i="1"/>
  <c r="O267" i="1"/>
  <c r="N267" i="1"/>
  <c r="O266" i="1"/>
  <c r="N266" i="1"/>
  <c r="O265" i="1"/>
  <c r="N265" i="1"/>
  <c r="O264" i="1"/>
  <c r="N264" i="1"/>
  <c r="O263" i="1"/>
  <c r="N263" i="1"/>
  <c r="O262" i="1"/>
  <c r="N262" i="1"/>
  <c r="O261" i="1"/>
  <c r="N261" i="1"/>
  <c r="O260" i="1"/>
  <c r="N260" i="1"/>
  <c r="O259" i="1"/>
  <c r="N259" i="1"/>
  <c r="O258" i="1"/>
  <c r="N258" i="1"/>
  <c r="O257" i="1"/>
  <c r="N257" i="1"/>
  <c r="O256" i="1"/>
  <c r="N256" i="1"/>
  <c r="O255" i="1"/>
  <c r="N255" i="1"/>
  <c r="O254" i="1"/>
  <c r="N254" i="1"/>
  <c r="O253" i="1"/>
  <c r="N253" i="1"/>
  <c r="O252" i="1"/>
  <c r="N252" i="1"/>
  <c r="O251" i="1"/>
  <c r="N251" i="1"/>
  <c r="O250" i="1"/>
  <c r="N250" i="1"/>
  <c r="O249" i="1"/>
  <c r="N249" i="1"/>
  <c r="O248" i="1"/>
  <c r="N248" i="1"/>
  <c r="O247" i="1"/>
  <c r="N247" i="1"/>
  <c r="O246" i="1"/>
  <c r="N246" i="1"/>
  <c r="O245" i="1"/>
  <c r="N245" i="1"/>
  <c r="O244" i="1"/>
  <c r="N244" i="1"/>
  <c r="O243" i="1"/>
  <c r="N243" i="1"/>
  <c r="O242" i="1"/>
  <c r="N242" i="1"/>
  <c r="O241" i="1"/>
  <c r="N241" i="1"/>
  <c r="O240" i="1"/>
  <c r="N240" i="1"/>
  <c r="O239" i="1"/>
  <c r="N239" i="1"/>
  <c r="O238" i="1"/>
  <c r="N238" i="1"/>
  <c r="O237" i="1"/>
  <c r="N237" i="1"/>
  <c r="O236" i="1"/>
  <c r="N236" i="1"/>
  <c r="O235" i="1"/>
  <c r="N235" i="1"/>
  <c r="O234" i="1"/>
  <c r="N234" i="1"/>
  <c r="O233" i="1"/>
  <c r="N233" i="1"/>
  <c r="O232" i="1"/>
  <c r="N232" i="1"/>
  <c r="O231" i="1"/>
  <c r="N231" i="1"/>
  <c r="O230" i="1"/>
  <c r="N230" i="1"/>
  <c r="O229" i="1"/>
  <c r="N229" i="1"/>
  <c r="O228" i="1"/>
  <c r="N228" i="1"/>
  <c r="O227" i="1"/>
  <c r="N227" i="1"/>
  <c r="O226" i="1"/>
  <c r="N226" i="1"/>
  <c r="O225" i="1"/>
  <c r="N225" i="1"/>
  <c r="O224" i="1"/>
  <c r="N224" i="1"/>
  <c r="O223" i="1"/>
  <c r="N223" i="1"/>
  <c r="O222" i="1"/>
  <c r="N222" i="1"/>
  <c r="O221" i="1"/>
  <c r="N221" i="1"/>
  <c r="O220" i="1"/>
  <c r="N220" i="1"/>
  <c r="O219" i="1"/>
  <c r="N219" i="1"/>
  <c r="O218" i="1"/>
  <c r="N218" i="1"/>
  <c r="O217" i="1"/>
  <c r="N217" i="1"/>
  <c r="O216" i="1"/>
  <c r="N216" i="1"/>
  <c r="O215" i="1"/>
  <c r="N215" i="1"/>
  <c r="O214" i="1"/>
  <c r="N214" i="1"/>
  <c r="O213" i="1"/>
  <c r="N213" i="1"/>
  <c r="O212" i="1"/>
  <c r="N212" i="1"/>
  <c r="O211" i="1"/>
  <c r="N211" i="1"/>
  <c r="O210" i="1"/>
  <c r="N210" i="1"/>
  <c r="O209" i="1"/>
  <c r="N209" i="1"/>
  <c r="O208" i="1"/>
  <c r="N208" i="1"/>
  <c r="O207" i="1"/>
  <c r="N207" i="1"/>
  <c r="O206" i="1"/>
  <c r="N206" i="1"/>
  <c r="O205" i="1"/>
  <c r="N205" i="1"/>
  <c r="O204" i="1"/>
  <c r="N204" i="1"/>
  <c r="O203" i="1"/>
  <c r="N203" i="1"/>
  <c r="O202" i="1"/>
  <c r="N202" i="1"/>
  <c r="O201" i="1"/>
  <c r="N201" i="1"/>
  <c r="O200" i="1"/>
  <c r="N200" i="1"/>
  <c r="O199" i="1"/>
  <c r="N199" i="1"/>
  <c r="O198" i="1"/>
  <c r="N198" i="1"/>
  <c r="O197" i="1"/>
  <c r="N197" i="1"/>
  <c r="O196" i="1"/>
  <c r="N196" i="1"/>
  <c r="O195" i="1"/>
  <c r="N195" i="1"/>
  <c r="O194" i="1"/>
  <c r="N194" i="1"/>
  <c r="O193" i="1"/>
  <c r="N193" i="1"/>
  <c r="O192" i="1"/>
  <c r="N192" i="1"/>
  <c r="O191" i="1"/>
  <c r="N191" i="1"/>
  <c r="O190" i="1"/>
  <c r="N190" i="1"/>
  <c r="O189" i="1"/>
  <c r="N189" i="1"/>
  <c r="O188" i="1"/>
  <c r="N188" i="1"/>
  <c r="O187" i="1"/>
  <c r="N187" i="1"/>
  <c r="O186" i="1"/>
  <c r="N186" i="1"/>
  <c r="O185" i="1"/>
  <c r="N185" i="1"/>
  <c r="O184" i="1"/>
  <c r="N184" i="1"/>
  <c r="O183" i="1"/>
  <c r="N183" i="1"/>
  <c r="O182" i="1"/>
  <c r="N182" i="1"/>
  <c r="O181" i="1"/>
  <c r="N181" i="1"/>
  <c r="O180" i="1"/>
  <c r="N180" i="1"/>
  <c r="O179" i="1"/>
  <c r="N179" i="1"/>
  <c r="O178" i="1"/>
  <c r="N178" i="1"/>
  <c r="O177" i="1"/>
  <c r="N177" i="1"/>
  <c r="O176" i="1"/>
  <c r="N176" i="1"/>
  <c r="O175" i="1"/>
  <c r="N175" i="1"/>
  <c r="O174" i="1"/>
  <c r="N174" i="1"/>
  <c r="O173" i="1"/>
  <c r="N173" i="1"/>
  <c r="O172" i="1"/>
  <c r="N172" i="1"/>
  <c r="O171" i="1"/>
  <c r="N171" i="1"/>
  <c r="O170" i="1"/>
  <c r="N170" i="1"/>
  <c r="O169" i="1"/>
  <c r="N169" i="1"/>
  <c r="O168" i="1"/>
  <c r="N168" i="1"/>
  <c r="O167" i="1"/>
  <c r="N167" i="1"/>
  <c r="O166" i="1"/>
  <c r="N166" i="1"/>
  <c r="O165" i="1"/>
  <c r="N165" i="1"/>
  <c r="O164" i="1"/>
  <c r="N164" i="1"/>
  <c r="O163" i="1"/>
  <c r="N163" i="1"/>
  <c r="O162" i="1"/>
  <c r="N162" i="1"/>
  <c r="O161" i="1"/>
  <c r="N161" i="1"/>
  <c r="O160" i="1"/>
  <c r="N160" i="1"/>
  <c r="O159" i="1"/>
  <c r="N159" i="1"/>
  <c r="O158" i="1"/>
  <c r="N158" i="1"/>
  <c r="O157" i="1"/>
  <c r="N157" i="1"/>
  <c r="O156" i="1"/>
  <c r="N156" i="1"/>
  <c r="O155" i="1"/>
  <c r="N155" i="1"/>
  <c r="O154" i="1"/>
  <c r="N154" i="1"/>
  <c r="O153" i="1"/>
  <c r="N153" i="1"/>
  <c r="O152" i="1"/>
  <c r="N152" i="1"/>
  <c r="O151" i="1"/>
  <c r="N151" i="1"/>
  <c r="O150" i="1"/>
  <c r="N150" i="1"/>
  <c r="O149" i="1"/>
  <c r="N149" i="1"/>
  <c r="O148" i="1"/>
  <c r="N148" i="1"/>
  <c r="O147" i="1"/>
  <c r="N147" i="1"/>
  <c r="O146" i="1"/>
  <c r="N146" i="1"/>
  <c r="O145" i="1"/>
  <c r="N145" i="1"/>
  <c r="O144" i="1"/>
  <c r="N144" i="1"/>
  <c r="O143" i="1"/>
  <c r="N143" i="1"/>
  <c r="O142" i="1"/>
  <c r="N142" i="1"/>
  <c r="O141" i="1"/>
  <c r="N141" i="1"/>
  <c r="O140" i="1"/>
  <c r="N140" i="1"/>
  <c r="O139" i="1"/>
  <c r="N139" i="1"/>
  <c r="O138" i="1"/>
  <c r="N138" i="1"/>
  <c r="O137" i="1"/>
  <c r="N137" i="1"/>
  <c r="O136" i="1"/>
  <c r="N136" i="1"/>
  <c r="O135" i="1"/>
  <c r="N135" i="1"/>
  <c r="O134" i="1"/>
  <c r="N134" i="1"/>
  <c r="O133" i="1"/>
  <c r="N133" i="1"/>
  <c r="O132" i="1"/>
  <c r="N132" i="1"/>
  <c r="O131" i="1"/>
  <c r="N131" i="1"/>
  <c r="O130" i="1"/>
  <c r="N130" i="1"/>
  <c r="O129" i="1"/>
  <c r="N129" i="1"/>
  <c r="O128" i="1"/>
  <c r="N128" i="1"/>
  <c r="O127" i="1"/>
  <c r="N127" i="1"/>
  <c r="O126" i="1"/>
  <c r="N126" i="1"/>
  <c r="O125" i="1"/>
  <c r="N125" i="1"/>
  <c r="O124" i="1"/>
  <c r="N124" i="1"/>
  <c r="O123" i="1"/>
  <c r="N123" i="1"/>
  <c r="O122" i="1"/>
  <c r="N122" i="1"/>
  <c r="O121" i="1"/>
  <c r="N121" i="1"/>
  <c r="O120" i="1"/>
  <c r="N120" i="1"/>
  <c r="O119" i="1"/>
  <c r="N119" i="1"/>
  <c r="O118" i="1"/>
  <c r="N118" i="1"/>
  <c r="O117" i="1"/>
  <c r="N117" i="1"/>
  <c r="O116" i="1"/>
  <c r="N116" i="1"/>
  <c r="O115" i="1"/>
  <c r="N115" i="1"/>
  <c r="O114" i="1"/>
  <c r="N114" i="1"/>
  <c r="O113" i="1"/>
  <c r="N113" i="1"/>
  <c r="O112" i="1"/>
  <c r="N112" i="1"/>
  <c r="O111" i="1"/>
  <c r="N111" i="1"/>
  <c r="O110" i="1"/>
  <c r="N110" i="1"/>
  <c r="O109" i="1"/>
  <c r="N109" i="1"/>
  <c r="O108" i="1"/>
  <c r="N108" i="1"/>
  <c r="O107" i="1"/>
  <c r="N107" i="1"/>
  <c r="O106" i="1"/>
  <c r="N106" i="1"/>
  <c r="O105" i="1"/>
  <c r="N105" i="1"/>
  <c r="O104" i="1"/>
  <c r="N104" i="1"/>
  <c r="O103" i="1"/>
  <c r="N103" i="1"/>
  <c r="O102" i="1"/>
  <c r="N102" i="1"/>
  <c r="O101" i="1"/>
  <c r="N101" i="1"/>
  <c r="O100" i="1"/>
  <c r="N100" i="1"/>
  <c r="O99" i="1"/>
  <c r="N99" i="1"/>
  <c r="O98" i="1"/>
  <c r="N98" i="1"/>
  <c r="O97" i="1"/>
  <c r="N97" i="1"/>
  <c r="O96" i="1"/>
  <c r="N96" i="1"/>
  <c r="O95" i="1"/>
  <c r="N95" i="1"/>
  <c r="O94" i="1"/>
  <c r="N94" i="1"/>
  <c r="O93" i="1"/>
  <c r="N93" i="1"/>
  <c r="O92" i="1"/>
  <c r="N92" i="1"/>
  <c r="O91" i="1"/>
  <c r="N91" i="1"/>
  <c r="O90" i="1"/>
  <c r="N90" i="1"/>
  <c r="O89" i="1"/>
  <c r="N89" i="1"/>
  <c r="O88" i="1"/>
  <c r="N88" i="1"/>
  <c r="O87" i="1"/>
  <c r="N87" i="1"/>
  <c r="O86" i="1"/>
  <c r="N86" i="1"/>
  <c r="O85" i="1"/>
  <c r="N85" i="1"/>
  <c r="O84" i="1"/>
  <c r="N84" i="1"/>
  <c r="O83" i="1"/>
  <c r="N83" i="1"/>
  <c r="O82" i="1"/>
  <c r="N82" i="1"/>
  <c r="O81" i="1"/>
  <c r="N81" i="1"/>
  <c r="O80" i="1"/>
  <c r="N80" i="1"/>
  <c r="O79" i="1"/>
  <c r="N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</calcChain>
</file>

<file path=xl/sharedStrings.xml><?xml version="1.0" encoding="utf-8"?>
<sst xmlns="http://schemas.openxmlformats.org/spreadsheetml/2006/main" count="9663" uniqueCount="2036">
  <si>
    <t>Filename</t>
  </si>
  <si>
    <t>Issue Status</t>
  </si>
  <si>
    <t>Revision</t>
  </si>
  <si>
    <t>Revision Date</t>
  </si>
  <si>
    <t>Description / Title</t>
  </si>
  <si>
    <t>Discipline</t>
  </si>
  <si>
    <t>Category</t>
  </si>
  <si>
    <t>Asset / ID Number</t>
  </si>
  <si>
    <t>Project</t>
  </si>
  <si>
    <t>Plant</t>
  </si>
  <si>
    <t>Department Code</t>
  </si>
  <si>
    <t>Document Type</t>
  </si>
  <si>
    <t>Vendor Name</t>
  </si>
  <si>
    <t>Location</t>
  </si>
  <si>
    <t>Department Name</t>
  </si>
  <si>
    <t>E-7-160.51.27.276-074-06_Single Line Distribution Diagram.dwg</t>
  </si>
  <si>
    <t/>
  </si>
  <si>
    <t>84957r0.PDF</t>
  </si>
  <si>
    <t>12/04/07</t>
  </si>
  <si>
    <t>HANDRAIL</t>
  </si>
  <si>
    <t>Structural</t>
  </si>
  <si>
    <t>S</t>
  </si>
  <si>
    <t>M 84957</t>
  </si>
  <si>
    <t>Drawings</t>
  </si>
  <si>
    <t>SBN</t>
  </si>
  <si>
    <t>63902.PDF</t>
  </si>
  <si>
    <t>08/15/00</t>
  </si>
  <si>
    <t>S.S. 420</t>
  </si>
  <si>
    <t>D</t>
  </si>
  <si>
    <t>M-S-01-S-25</t>
  </si>
  <si>
    <t>QUALICO STEEL CO, INC.</t>
  </si>
  <si>
    <t>EXIST CLINKER Wall D5.1 Final  09-20-08.pdf</t>
  </si>
  <si>
    <t>09/30/08</t>
  </si>
  <si>
    <t>ROOF BOTTOM EAVE SECTION, ROOF RAKE SECTION, CORNER SECTION, ROOF TOP EAVE SECTION, SILL SECTION, BASE SECTION, JAMB SECTION, HEAD SECTION, PANEL LAP DETAIL</t>
  </si>
  <si>
    <t>R</t>
  </si>
  <si>
    <t>CRU-CON ENGINEERING</t>
  </si>
  <si>
    <t>22231R1.PDF</t>
  </si>
  <si>
    <t>92104.PDF</t>
  </si>
  <si>
    <t>IFA</t>
  </si>
  <si>
    <t>06/01/07</t>
  </si>
  <si>
    <t>BILL OF MATERIAL</t>
  </si>
  <si>
    <t>921041C1</t>
  </si>
  <si>
    <t>M.E.I.</t>
  </si>
  <si>
    <t>11107r4.PDF</t>
  </si>
  <si>
    <t>A</t>
  </si>
  <si>
    <t>05/21/00</t>
  </si>
  <si>
    <t>UPRIGHT 14-11</t>
  </si>
  <si>
    <t>1189P</t>
  </si>
  <si>
    <t>GARDNER, INC.</t>
  </si>
  <si>
    <t>26221A.PDF</t>
  </si>
  <si>
    <t>66902Ar1.pdf</t>
  </si>
  <si>
    <t>C-21-00001</t>
  </si>
  <si>
    <t>QUALICO STEEL CO., INC.</t>
  </si>
  <si>
    <t>93208r0.PDF</t>
  </si>
  <si>
    <t>04/01/07</t>
  </si>
  <si>
    <t>GRID BEAM</t>
  </si>
  <si>
    <t>932081</t>
  </si>
  <si>
    <t>River Cement</t>
  </si>
  <si>
    <t>QUALICO STEEL CO. INC.</t>
  </si>
  <si>
    <t>61969r0.PDF</t>
  </si>
  <si>
    <t>0</t>
  </si>
  <si>
    <t>G51 REV-0.pdf</t>
  </si>
  <si>
    <t>08/23/27</t>
  </si>
  <si>
    <t>GULP INC.</t>
  </si>
  <si>
    <t>17413.PDF</t>
  </si>
  <si>
    <t>01/10/07</t>
  </si>
  <si>
    <t>WELDED ASSEMBLY FOR BRACE</t>
  </si>
  <si>
    <t>C-1321 (V12)</t>
  </si>
  <si>
    <t>QUALITY STEEL CO. INC.</t>
  </si>
  <si>
    <t>16415R1.PDF</t>
  </si>
  <si>
    <t>G</t>
  </si>
  <si>
    <t>Listings</t>
  </si>
  <si>
    <t>14404.PDF</t>
  </si>
  <si>
    <t>12/18/07</t>
  </si>
  <si>
    <t>BOTTOM BRACE</t>
  </si>
  <si>
    <t>14404</t>
  </si>
  <si>
    <t>20215.PDF</t>
  </si>
  <si>
    <t>02/12/07</t>
  </si>
  <si>
    <t>BEAM</t>
  </si>
  <si>
    <t>2021S</t>
  </si>
  <si>
    <t>16443.PDF</t>
  </si>
  <si>
    <t>82416.pdf</t>
  </si>
  <si>
    <t>06/08/17</t>
  </si>
  <si>
    <t>METAL BRACKETING</t>
  </si>
  <si>
    <t>6241SCD</t>
  </si>
  <si>
    <t>146058PI9004.dwg</t>
  </si>
  <si>
    <t>MN509565-SP01_Rev0.pdf</t>
  </si>
  <si>
    <t>01/01/23</t>
  </si>
  <si>
    <t>MN509565-SP02_Rev0.pdf</t>
  </si>
  <si>
    <t>SPLICE PLATE STRINGER MK. 52.2</t>
  </si>
  <si>
    <t>M0005001-SP2</t>
  </si>
  <si>
    <t>DISEÑO DE MAQUINAS E INDUSTRIAS INDUSTRIALES, S.A. DE C.V.</t>
  </si>
  <si>
    <t>MN509560-TT03_Rev0.pdf</t>
  </si>
  <si>
    <t>01/11/21</t>
  </si>
  <si>
    <t>TOWER STEEL STRUCTURE</t>
  </si>
  <si>
    <t>M000001775</t>
  </si>
  <si>
    <t>MN509565-BNT03_Rev0.pdf</t>
  </si>
  <si>
    <t>ASSEMBLY LIST</t>
  </si>
  <si>
    <t>y-394691_001.dwg</t>
  </si>
  <si>
    <t>MN509565-BNT02_Rev0.pdf</t>
  </si>
  <si>
    <t>BENT MK. 37.2</t>
  </si>
  <si>
    <t>M0000000187F0</t>
  </si>
  <si>
    <t>SISTEMA DE MAQUINAS INDUSTRIALES S.A. DE C.V.</t>
  </si>
  <si>
    <t>MN509565-ES01_Rev2.pdf</t>
  </si>
  <si>
    <t>02/14/24</t>
  </si>
  <si>
    <t>ELEVATION ON GRID B</t>
  </si>
  <si>
    <t>EQ_MN509565</t>
  </si>
  <si>
    <t>Holcim</t>
  </si>
  <si>
    <t>MN509565-BNT01_Rev0.pdf</t>
  </si>
  <si>
    <t>05/27/21</t>
  </si>
  <si>
    <t>BENT MK. 37.1</t>
  </si>
  <si>
    <t>M03000-BT31</t>
  </si>
  <si>
    <t>dm DISEÑO DE MAQUINAS INDUSTRIALES S.A. DE C.V.</t>
  </si>
  <si>
    <t>MN509560-SG02_Rev0.pdf</t>
  </si>
  <si>
    <t>STRINGER STANDARD SECTION 5800mm SL. 1/1</t>
  </si>
  <si>
    <t>MN5095580</t>
  </si>
  <si>
    <t>DISENO DE MAQUINAS INDUSTRIALES, S.A. DE C.V.</t>
  </si>
  <si>
    <t>ID 2949 - Paint_Specification_Primer.pdf</t>
  </si>
  <si>
    <t>12/11</t>
  </si>
  <si>
    <t>KEM BOND® HS UNIVERSAL METAL PRIMER</t>
  </si>
  <si>
    <t>Cut Sheets</t>
  </si>
  <si>
    <t>Sherwin-Williams</t>
  </si>
  <si>
    <t>ID 2950 - Paint_Specification_Final_Coat.pdf</t>
  </si>
  <si>
    <t>2.24</t>
  </si>
  <si>
    <t>07/10/null</t>
  </si>
  <si>
    <t>METALASTIC® DTM ACRYLIC MODIFIED ENAMEL PRODUCT INFORMATION</t>
  </si>
  <si>
    <t>Sherwin Williams</t>
  </si>
  <si>
    <t>D_56-01974_R0.dwg</t>
  </si>
  <si>
    <t>ID 2449 - Pump-Cardox_Room_Sketch.pdf</t>
  </si>
  <si>
    <t>Plan View and Sections of Electrical Room, Pump Room, Cargo Room, and Analyzer Shelter</t>
  </si>
  <si>
    <t>Electrical</t>
  </si>
  <si>
    <t>2648</t>
  </si>
  <si>
    <t>MN509565-SG01_Rev0.pdf</t>
  </si>
  <si>
    <t>PRE</t>
  </si>
  <si>
    <t>12/21/22</t>
  </si>
  <si>
    <t>ELEVATIONS AND PLAN VIEW</t>
  </si>
  <si>
    <t>JN09445</t>
  </si>
  <si>
    <t>D_59-00254_1.dwg</t>
  </si>
  <si>
    <t>APR</t>
  </si>
  <si>
    <t>01/15/24</t>
  </si>
  <si>
    <t>VALVULA SOPORTE PARA CONTRAFLANJA</t>
  </si>
  <si>
    <t>Mechanical</t>
  </si>
  <si>
    <t>M</t>
  </si>
  <si>
    <t>3P-2024</t>
  </si>
  <si>
    <t>ID 2948 - Equipment_List Rev 1.pdf</t>
  </si>
  <si>
    <t>1</t>
  </si>
  <si>
    <t>03/09/15</t>
  </si>
  <si>
    <t>Equipment List</t>
  </si>
  <si>
    <t>F</t>
  </si>
  <si>
    <t>304130.01</t>
  </si>
  <si>
    <t>Lechler, Inc.</t>
  </si>
  <si>
    <t>MN509565-SG02_Rev0.pdf</t>
  </si>
  <si>
    <t>P</t>
  </si>
  <si>
    <t>02/14/18</t>
  </si>
  <si>
    <t>SISTEMA ESTEREO ELEVACION GRID A, B, C</t>
  </si>
  <si>
    <t>EQ_MN009565</t>
  </si>
  <si>
    <t>MACQUINAS INDUSTRIALES, S.A. DE C.V.</t>
  </si>
  <si>
    <t>D_59-00257_0.dwg</t>
  </si>
  <si>
    <t>IFC</t>
  </si>
  <si>
    <t>11/20/00</t>
  </si>
  <si>
    <t>TRONCO CONICO Ø 281 x 42 x 2 m VALVOLA A TAMPORE CHIUSO ± 3 VIE</t>
  </si>
  <si>
    <t>BORRANEI S.R.L.</t>
  </si>
  <si>
    <t>D_59-00260_1.dwg</t>
  </si>
  <si>
    <t>01/20/00</t>
  </si>
  <si>
    <t>VALVOLE PER GAS (Gas Valves)</t>
  </si>
  <si>
    <t>59-06260</t>
  </si>
  <si>
    <t>BORRANI S.p.A.</t>
  </si>
  <si>
    <t>D_59-00256_0.dwg</t>
  </si>
  <si>
    <t>05/12/21</t>
  </si>
  <si>
    <t>VALVULA DE PASO PARA MESA</t>
  </si>
  <si>
    <t>4003-3LZ-24</t>
  </si>
  <si>
    <t>D_56-01976_R0.dwg</t>
  </si>
  <si>
    <t>D_59-00255_1.dwg</t>
  </si>
  <si>
    <t>06/05/06</t>
  </si>
  <si>
    <t>ANELLO PER FLANGIA</t>
  </si>
  <si>
    <t>0605-BUZ-23</t>
  </si>
  <si>
    <t>BORREANI S.R.L.</t>
  </si>
  <si>
    <t>ID 2446 - Downcomer_Compressor_Flow_Diagram.pdf</t>
  </si>
  <si>
    <t>03/01/22</t>
  </si>
  <si>
    <t>FLOW CIRCUIT</t>
  </si>
  <si>
    <t>304130.00</t>
  </si>
  <si>
    <t>BUZI Unicem USA</t>
  </si>
  <si>
    <t>D_59-00252_0.dwg</t>
  </si>
  <si>
    <t>08/12/06</t>
  </si>
  <si>
    <t>VALVOLA A TARCALE 800D A 3 VIE</t>
  </si>
  <si>
    <t>BORREANI S.r.l.</t>
  </si>
  <si>
    <t>S-6-04-E-046_C5.dwg</t>
  </si>
  <si>
    <t>ID 2453 - Water_Jet_Sketch.pdf</t>
  </si>
  <si>
    <t>Floor Connection Typical</t>
  </si>
  <si>
    <t>2453</t>
  </si>
  <si>
    <t>D005943-buzzi_uni.dwg</t>
  </si>
  <si>
    <t>ID 9519 - Air and Water Requirement.pdf</t>
  </si>
  <si>
    <t>11/21/15</t>
  </si>
  <si>
    <t>AIR &amp; WATER REQUIREMENTS - VarioCOOL® Gas Cooling System</t>
  </si>
  <si>
    <t>V</t>
  </si>
  <si>
    <t>Misc. Vendor Docs</t>
  </si>
  <si>
    <t>Lechler Inc.</t>
  </si>
  <si>
    <t>ID 6318 - 79883_USP.pdf</t>
  </si>
  <si>
    <t>Spare Parts List</t>
  </si>
  <si>
    <t>Maryneal Cement</t>
  </si>
  <si>
    <t>Lechler, Inc</t>
  </si>
  <si>
    <t>ID 5165 - Electrical_List.pdf</t>
  </si>
  <si>
    <t>01/19/15</t>
  </si>
  <si>
    <t>Electrical List</t>
  </si>
  <si>
    <t>823.100.61.00.00.0_AV0</t>
  </si>
  <si>
    <t>231018-S-514-2.dwg</t>
  </si>
  <si>
    <t>101907.pdf</t>
  </si>
  <si>
    <t>DETAIL A - ONE HANDRAIL</t>
  </si>
  <si>
    <t>101097HR1</t>
  </si>
  <si>
    <t>102912.rev0.pdf</t>
  </si>
  <si>
    <t>03/12/08</t>
  </si>
  <si>
    <t>101913.pdf</t>
  </si>
  <si>
    <t>102916.rev0.pdf</t>
  </si>
  <si>
    <t>03/19/09</t>
  </si>
  <si>
    <t>CNE — HANDRAIL</t>
  </si>
  <si>
    <t>0201501881</t>
  </si>
  <si>
    <t>D005943-DIS-TRAN S01.dwg</t>
  </si>
  <si>
    <t>101911.pdf</t>
  </si>
  <si>
    <t>03/14/08</t>
  </si>
  <si>
    <t>FINISHED HANDRAIL</t>
  </si>
  <si>
    <t>QUALCO QUALICO STEEL CO. INC.</t>
  </si>
  <si>
    <t>102910.rev0.pdf</t>
  </si>
  <si>
    <t>03/15/08</t>
  </si>
  <si>
    <t>102910HR1</t>
  </si>
  <si>
    <t>102912.pdf</t>
  </si>
  <si>
    <t>C</t>
  </si>
  <si>
    <t>02/01/08</t>
  </si>
  <si>
    <t>10291HR1</t>
  </si>
  <si>
    <t>106932r0.pdf</t>
  </si>
  <si>
    <t>06/05/08</t>
  </si>
  <si>
    <t>106932HR1</t>
  </si>
  <si>
    <t>0710660002.DWG</t>
  </si>
  <si>
    <t>Buzzi Maryneal - Base.dwg</t>
  </si>
  <si>
    <t>Buzzi Maryneal - Horz.dwg</t>
  </si>
  <si>
    <t>maryneal plant pressure unit layout.dwg</t>
  </si>
  <si>
    <t>103906.pdf</t>
  </si>
  <si>
    <t>03/20/08</t>
  </si>
  <si>
    <t>1020S000001</t>
  </si>
  <si>
    <t>102908.pdf</t>
  </si>
  <si>
    <t>102909.pdf</t>
  </si>
  <si>
    <t>10209HR1</t>
  </si>
  <si>
    <t>108901Ar.pdf</t>
  </si>
  <si>
    <t>07/10/08</t>
  </si>
  <si>
    <t>1-STAIR ASSEMBLY-Marked-108901S1</t>
  </si>
  <si>
    <t>108901S1</t>
  </si>
  <si>
    <t>103904.pdf</t>
  </si>
  <si>
    <t>08/30/08</t>
  </si>
  <si>
    <t>ONE - HANDRAIL</t>
  </si>
  <si>
    <t>102004HRIL</t>
  </si>
  <si>
    <t>109901r0.pdf</t>
  </si>
  <si>
    <t>06/21</t>
  </si>
  <si>
    <t>1-HANDRAIL-Maxrail-10901H</t>
  </si>
  <si>
    <t>10901H</t>
  </si>
  <si>
    <t>CV-1-IB06Rev0.dwg</t>
  </si>
  <si>
    <t>110902Ar0.pdf</t>
  </si>
  <si>
    <t>06/20/09</t>
  </si>
  <si>
    <t>1-STAIR ASSEMBLY V-Main 109001-109010</t>
  </si>
  <si>
    <t>S-TSR-02</t>
  </si>
  <si>
    <t>P13698-1604-1015-01_REV_C_ACAD2013.dwg</t>
  </si>
  <si>
    <t>P13698-1604-1071-01_REV_-_ACAD2013.dwg</t>
  </si>
  <si>
    <t>P13698-1604-1070-01_REV_-_ACAD2013.dwg</t>
  </si>
  <si>
    <t>101917.pdf</t>
  </si>
  <si>
    <t>06-21</t>
  </si>
  <si>
    <t>101917</t>
  </si>
  <si>
    <t>CV-1-IB02RevD.dwg</t>
  </si>
  <si>
    <t>110906r0.pdf</t>
  </si>
  <si>
    <t>06/20/08</t>
  </si>
  <si>
    <t>110906</t>
  </si>
  <si>
    <t>ID 2452 - MPI_Fittings_Valves.pdf</t>
  </si>
  <si>
    <t>02/01/12</t>
  </si>
  <si>
    <t>Medium Pressure Products MPIT™ Fittings and Valves 6,000 – 15,000 PSI Range Catalog 4234</t>
  </si>
  <si>
    <t>Manuals</t>
  </si>
  <si>
    <t>Parker Hannifin Corporation</t>
  </si>
  <si>
    <t>ID 2954 - Ball_Valve_and_Accessories.pdf</t>
  </si>
  <si>
    <t>BLOW-OFF DRAIN VALVE BALL VALVE DESIGN</t>
  </si>
  <si>
    <t>TITAN FLOW CONTROL</t>
  </si>
  <si>
    <t>106909r0.pdf</t>
  </si>
  <si>
    <t>04/03/08</t>
  </si>
  <si>
    <t>106909HR1</t>
  </si>
  <si>
    <t>HUMALICO STEEL CO. INC.</t>
  </si>
  <si>
    <t>103905r1.pdf</t>
  </si>
  <si>
    <t>06/29/08</t>
  </si>
  <si>
    <t>1030950HR1</t>
  </si>
  <si>
    <t>106919r0.pdf</t>
  </si>
  <si>
    <t>106919HR1</t>
  </si>
  <si>
    <t>P13698-1604-1010-01_REV_E_ACAD2013.dwg</t>
  </si>
  <si>
    <t>106918r0.pdf</t>
  </si>
  <si>
    <t>06/05/20</t>
  </si>
  <si>
    <t>ERECT UP OF BUILDING SLABS</t>
  </si>
  <si>
    <t>106581-1</t>
  </si>
  <si>
    <t>QUALI CO QUALICO STEEL CO. INC.</t>
  </si>
  <si>
    <t>EFE-2007-040-BU-AS-25.dwg</t>
  </si>
  <si>
    <t>106913r0.pdf</t>
  </si>
  <si>
    <t>106917r0.pdf</t>
  </si>
  <si>
    <t>Civil</t>
  </si>
  <si>
    <t>U</t>
  </si>
  <si>
    <t>110908r0.pdf</t>
  </si>
  <si>
    <t>09/17/21</t>
  </si>
  <si>
    <t>QUALICO COALITION STEEL CO. INC.</t>
  </si>
  <si>
    <t>101914.pdf</t>
  </si>
  <si>
    <t>MD101984HR1</t>
  </si>
  <si>
    <t>QUALICO ENGINEERING INC.</t>
  </si>
  <si>
    <t>85422r1.pdf</t>
  </si>
  <si>
    <t>07/13/07</t>
  </si>
  <si>
    <t>1-V-BRACE</t>
  </si>
  <si>
    <t>85422D1</t>
  </si>
  <si>
    <t>106905Ar0.pdf</t>
  </si>
  <si>
    <t>04/06/08</t>
  </si>
  <si>
    <t>STAIR ASSEMBLY</t>
  </si>
  <si>
    <t>10690551</t>
  </si>
  <si>
    <t>EFE-2007-040-BU-AS-24.dwg</t>
  </si>
  <si>
    <t>106926r0.pdf</t>
  </si>
  <si>
    <t>00</t>
  </si>
  <si>
    <t>HANDRAIL - TOP OF BLENDING SILOS</t>
  </si>
  <si>
    <t>106926HR1</t>
  </si>
  <si>
    <t>ID 2959 - Proline_Prowirl_72F.pdf</t>
  </si>
  <si>
    <t>Proline Prowirl 72F, 72W, 73F, 73W Vortex flow measuring system</t>
  </si>
  <si>
    <t>Process</t>
  </si>
  <si>
    <t>5200418</t>
  </si>
  <si>
    <t>Endress+Hauser</t>
  </si>
  <si>
    <t>C123026-1F211_SC-A6-01_00.dwg</t>
  </si>
  <si>
    <t>87336r2.pdf</t>
  </si>
  <si>
    <t>61976r0.pdf</t>
  </si>
  <si>
    <t>06/29/null</t>
  </si>
  <si>
    <t>LADDER</t>
  </si>
  <si>
    <t>107922r0.pdf</t>
  </si>
  <si>
    <t>107922</t>
  </si>
  <si>
    <t>108303r1.pdf</t>
  </si>
  <si>
    <t>BOTTOM OF BLENDING SILOS</t>
  </si>
  <si>
    <t>108303</t>
  </si>
  <si>
    <t>99403.rev0.pdf</t>
  </si>
  <si>
    <t>V4</t>
  </si>
  <si>
    <t>04/25/08</t>
  </si>
  <si>
    <t>CUMBERLAND RIVER TSS PROJECT, HOT AIR TRANSPORT (HP 20)</t>
  </si>
  <si>
    <t>99403D1</t>
  </si>
  <si>
    <t>105804r1.pdf</t>
  </si>
  <si>
    <t>05/11/08</t>
  </si>
  <si>
    <t>LUCEN RIVER 700 PROJECT, RAW GRINDING &amp; BLENDING</t>
  </si>
  <si>
    <t>105804</t>
  </si>
  <si>
    <t>108916r1.pdf</t>
  </si>
  <si>
    <t>07/12/08</t>
  </si>
  <si>
    <t>108916HR1</t>
  </si>
  <si>
    <t>106912r0.pdf</t>
  </si>
  <si>
    <t>SOW WELD</t>
  </si>
  <si>
    <t>A880 UN</t>
  </si>
  <si>
    <t>ID 2965 - Cerabar_Pressure_Transducer.pdf</t>
  </si>
  <si>
    <t>Cerabar T PMC131, PMP131, PMP135 Pressure transducer with ceramic and metal sensors</t>
  </si>
  <si>
    <t>61417r0.pdf</t>
  </si>
  <si>
    <t>07/20/07</t>
  </si>
  <si>
    <t>61417EX</t>
  </si>
  <si>
    <t>054155-00-0 M-roller part breakdown.pdf</t>
  </si>
  <si>
    <t>Rillen im Putz und Applikation von Korrosionsschutzfarbe</t>
  </si>
  <si>
    <t>87335r2.pdf</t>
  </si>
  <si>
    <t>02/07</t>
  </si>
  <si>
    <t>CRANE BEAM</t>
  </si>
  <si>
    <t>67335B1</t>
  </si>
  <si>
    <t>107901r0.pdf</t>
  </si>
  <si>
    <t>05/22/08</t>
  </si>
  <si>
    <t>107901HR1</t>
  </si>
  <si>
    <t>ID 2960 - Sharpe_Valves_DS.pdf</t>
  </si>
  <si>
    <t>FORGED STEEL CHECK VALVES FIG. 24834</t>
  </si>
  <si>
    <t>SHARPE VALVES</t>
  </si>
  <si>
    <t>D_56-01972_R0.dwg</t>
  </si>
  <si>
    <t>ID 2955 - Check_Valve.pdf</t>
  </si>
  <si>
    <t>FLANGE INSERT</t>
  </si>
  <si>
    <t>CHECK-ALL VALVE MFG. CO.</t>
  </si>
  <si>
    <t>105804r5.pdf</t>
  </si>
  <si>
    <t>4</t>
  </si>
  <si>
    <t>07/16</t>
  </si>
  <si>
    <t>PIVOT SUPPORT-Marked</t>
  </si>
  <si>
    <t>105804D1</t>
  </si>
  <si>
    <t>HUMBOLDT WEDDING, INC.</t>
  </si>
  <si>
    <t>P13698-1604-1060-01_REV_-_ACAD2013.dwg</t>
  </si>
  <si>
    <t>MN509565-MP01_Rev0.dwg</t>
  </si>
  <si>
    <t>ID 2963 - Prosonic_T_FMU30.pdf</t>
  </si>
  <si>
    <t>Prosonic T FMU30 Ultrasonic Level Measurement</t>
  </si>
  <si>
    <t>FQ85411 Maryneal  carbone rev1.pdf</t>
  </si>
  <si>
    <t>Maryneal carbone</t>
  </si>
  <si>
    <t>FQ85411</t>
  </si>
  <si>
    <t>87303r1.pdf</t>
  </si>
  <si>
    <t>B7303B1</t>
  </si>
  <si>
    <t>106904Ar0.pdf</t>
  </si>
  <si>
    <t>06/29</t>
  </si>
  <si>
    <t>1-STAIR-ASSEMBLY-Y-Model:10068A51</t>
  </si>
  <si>
    <t>050004</t>
  </si>
  <si>
    <t>13905.PDF</t>
  </si>
  <si>
    <t>12/14/06</t>
  </si>
  <si>
    <t>MIDDLEWORK STAIR - ASSEMBLY</t>
  </si>
  <si>
    <t>990551</t>
  </si>
  <si>
    <t>108920r0.pdf</t>
  </si>
  <si>
    <t>02/09/08</t>
  </si>
  <si>
    <t>10B920HR1</t>
  </si>
  <si>
    <t>85908.pdf</t>
  </si>
  <si>
    <t>07/21/07</t>
  </si>
  <si>
    <t>130-032000-1</t>
  </si>
  <si>
    <t>maryneal plant pressure sistem layout.dwg</t>
  </si>
  <si>
    <t>D_56-02041_R0.dwg</t>
  </si>
  <si>
    <t>D_56-02045_R0.dwg</t>
  </si>
  <si>
    <t>103901Ar1.pdf</t>
  </si>
  <si>
    <t>04/30/08</t>
  </si>
  <si>
    <t>103901S1</t>
  </si>
  <si>
    <t>87338r2.pdf</t>
  </si>
  <si>
    <t>2</t>
  </si>
  <si>
    <t>06/23/07</t>
  </si>
  <si>
    <t>8733861</t>
  </si>
  <si>
    <t>EFE-2007-040-BU-AS-21 REV.C.dwg</t>
  </si>
  <si>
    <t>1F201 - VTB-560-sist.8-0Â°LG-30kW-2P+SC10-450.dwg</t>
  </si>
  <si>
    <t>Centrifugă stație: Alışgir Ancașer</t>
  </si>
  <si>
    <t>VTB60-0-1LG</t>
  </si>
  <si>
    <t>T.S.E. Nordindustrial S.A.</t>
  </si>
  <si>
    <t>61409r1.pdf</t>
  </si>
  <si>
    <t>07/17/07</t>
  </si>
  <si>
    <t>VERTICAL BRACKET</t>
  </si>
  <si>
    <t>61414r0.pdf</t>
  </si>
  <si>
    <t>MN509560-SG02_Rev0.dwg</t>
  </si>
  <si>
    <t>structural steel assembly</t>
  </si>
  <si>
    <t>ID 2958 - Proline_Promag_50W.pdf</t>
  </si>
  <si>
    <t>11/09/00</t>
  </si>
  <si>
    <t>Proline Promag 50W, 53W Electromagnetic Flow Measuring System</t>
  </si>
  <si>
    <t>13901.PDF</t>
  </si>
  <si>
    <t>12/29/06</t>
  </si>
  <si>
    <t>MISCELLANEOUS STAR - ASSEMBLY</t>
  </si>
  <si>
    <t>1390151</t>
  </si>
  <si>
    <t>EFE-2007-040-BU-AS-17 REV.dwg</t>
  </si>
  <si>
    <t>790551_BW-Z 630-250_Dwg#30302250_East Truck Loadout_R0_For Approval.dwg</t>
  </si>
  <si>
    <t>85428r1.pdf</t>
  </si>
  <si>
    <t>AT&amp;T BRYSON CITY TOWER PROJECT, RAW GROUNDING &amp; DRAWING</t>
  </si>
  <si>
    <t>85428D1</t>
  </si>
  <si>
    <t>vmv.dwg</t>
  </si>
  <si>
    <t>0995_001.pdf</t>
  </si>
  <si>
    <t>81482</t>
  </si>
  <si>
    <t>09/24/13</t>
  </si>
  <si>
    <t>Operating instructions I5B B</t>
  </si>
  <si>
    <t>12724.5-9970</t>
  </si>
  <si>
    <t>ebm-papst Multiflow GmbH &amp; Co KG</t>
  </si>
  <si>
    <t>D_59-00297_1.dwg</t>
  </si>
  <si>
    <t>MN509565-ES02_Rev0.dwg</t>
  </si>
  <si>
    <t>ISOMETRIC VIEW</t>
  </si>
  <si>
    <t>87339r2.pdf</t>
  </si>
  <si>
    <t>0710660001.DWG</t>
  </si>
  <si>
    <t>FM63905.pdf</t>
  </si>
  <si>
    <t>SHOP SEQUENCES BILL OF MATERIAL - HANDRAIL</t>
  </si>
  <si>
    <t>63905HR1</t>
  </si>
  <si>
    <t>MURPHY METAL ENG, INC.</t>
  </si>
  <si>
    <t>D_56-02053_R0.dwg</t>
  </si>
  <si>
    <t>D_56-02049_R0.dwg</t>
  </si>
  <si>
    <t>107903r0.pdf</t>
  </si>
  <si>
    <t>02/25/18</t>
  </si>
  <si>
    <t>107903HR1</t>
  </si>
  <si>
    <t>107104r1.pdf</t>
  </si>
  <si>
    <t>69-ER1_Rev. 2 - 69kV TAP PROJECT ERECTION PLAN.dwg</t>
  </si>
  <si>
    <t>G33 A.pdf</t>
  </si>
  <si>
    <t>FYU</t>
  </si>
  <si>
    <t>07/02/07</t>
  </si>
  <si>
    <t>STEEL CENTER PLAN - GRATING DETS.</t>
  </si>
  <si>
    <t>AMICO METAL GRATING INC.</t>
  </si>
  <si>
    <t>108929Ar1.pdf</t>
  </si>
  <si>
    <t>LADDER-Marked 108929L1</t>
  </si>
  <si>
    <t>108929L1</t>
  </si>
  <si>
    <t>107911r0.pdf</t>
  </si>
  <si>
    <t>06/22/08</t>
  </si>
  <si>
    <t>107911HR1</t>
  </si>
  <si>
    <t>43221r0.pdf</t>
  </si>
  <si>
    <t>G17 IFA.pdf</t>
  </si>
  <si>
    <t>02/15/23</t>
  </si>
  <si>
    <t>GRATING BATE 3.2-S-1.2</t>
  </si>
  <si>
    <t>MAXIM CONSTRUCTION PRODUCTS</t>
  </si>
  <si>
    <t>105810r2.pdf</t>
  </si>
  <si>
    <t>03/28/08</t>
  </si>
  <si>
    <t>2-PIVOT SUPPORT-Marked</t>
  </si>
  <si>
    <t>105810D1</t>
  </si>
  <si>
    <t>108321r0.pdf</t>
  </si>
  <si>
    <t>05/26/08</t>
  </si>
  <si>
    <t>C.C.C.I. UNION RIVER 700 PROJECT, BOTTOM OF BLENDING SILOS</t>
  </si>
  <si>
    <t>13907.PDF</t>
  </si>
  <si>
    <t>HANDRAILS AND GUARD RAILS</t>
  </si>
  <si>
    <t>SURE SHOT STEEL FABRICATORS</t>
  </si>
  <si>
    <t>QUALICO-BUZZI 28055CH-H SHOP BILL.pdf</t>
  </si>
  <si>
    <t>02/08</t>
  </si>
  <si>
    <t>Shop Bill</t>
  </si>
  <si>
    <t>28055CH-H</t>
  </si>
  <si>
    <t>Alabama Metal Industries Corporation</t>
  </si>
  <si>
    <t>EFE-2007-040-BU-AS-26.dwg</t>
  </si>
  <si>
    <t>101811r1.pdf</t>
  </si>
  <si>
    <t>10/18/08</t>
  </si>
  <si>
    <t>SAG ROD</t>
  </si>
  <si>
    <t>B27</t>
  </si>
  <si>
    <t>G39 A.pdf</t>
  </si>
  <si>
    <t>CONSTRUCTION SUBMITTAL NO. 090015</t>
  </si>
  <si>
    <t>Submittals</t>
  </si>
  <si>
    <t>BARE BONES DESIGN</t>
  </si>
  <si>
    <t>QUALICO SHOP BILL 28055CH-K.PDF</t>
  </si>
  <si>
    <t>05/00</t>
  </si>
  <si>
    <t>2805</t>
  </si>
  <si>
    <t>13910.PDF</t>
  </si>
  <si>
    <t>12/24/06</t>
  </si>
  <si>
    <t>S-1</t>
  </si>
  <si>
    <t>G52 A.pdf</t>
  </si>
  <si>
    <t>05/21/07</t>
  </si>
  <si>
    <t>BILL OF MATERIAL GRATING TYPE HW 11-4 (S-1) STANDARD</t>
  </si>
  <si>
    <t>G43 A.pdf</t>
  </si>
  <si>
    <t>05/27/23</t>
  </si>
  <si>
    <t>GRATING PLAN</t>
  </si>
  <si>
    <t>NAWAN</t>
  </si>
  <si>
    <t>107313r1.pdf</t>
  </si>
  <si>
    <t>EFE-2007-040-BU-AS-23 Sh 9.dwg</t>
  </si>
  <si>
    <t>P13698-1604-1063-01_REV_-_ACAD2013.dwg</t>
  </si>
  <si>
    <t>108928r0.pdf</t>
  </si>
  <si>
    <t>MANHNT-108028-HRL1</t>
  </si>
  <si>
    <t>ID 10094 - FA-O&amp;M Manual - Rev 0.pdf</t>
  </si>
  <si>
    <t>05/01/15</t>
  </si>
  <si>
    <t>Functional Analysis/ Operating and Maintenance Manual - Lechler VarioCool System with Twin Fluid Nozzle Lances and Valve Skid Unit</t>
  </si>
  <si>
    <t>10094</t>
  </si>
  <si>
    <t>G41 A.pdf</t>
  </si>
  <si>
    <t>03/10/13</t>
  </si>
  <si>
    <t>BILL OF MATERIAL GRATING TYPE: RS-19-15/16"</t>
  </si>
  <si>
    <t>TAL. CO.</t>
  </si>
  <si>
    <t>G28 A.pdf</t>
  </si>
  <si>
    <t>LANDING GRATING DETAILS</t>
  </si>
  <si>
    <t>CORNISH STEEL COMPANY, INC.</t>
  </si>
  <si>
    <t>EFE-2007-040-BU-AS-133.dwg</t>
  </si>
  <si>
    <t>G27 A.pdf</t>
  </si>
  <si>
    <t>05/12/23</t>
  </si>
  <si>
    <t>CRATING PLAN &amp; T.O.G. ELEV. 444-7 1/8"</t>
  </si>
  <si>
    <t>FREI-CON ENGINEERING INC.</t>
  </si>
  <si>
    <t>MN-600-SK-5002-A.dwg</t>
  </si>
  <si>
    <t>24910.pdf</t>
  </si>
  <si>
    <t>06/21/17</t>
  </si>
  <si>
    <t>ONB - HANDRAIL Mul 24 910 HR1</t>
  </si>
  <si>
    <t>Architectural</t>
  </si>
  <si>
    <t>QUALICO STEEL CO INC</t>
  </si>
  <si>
    <t>107314r1.pdf</t>
  </si>
  <si>
    <t>05/22/06</t>
  </si>
  <si>
    <t>107</t>
  </si>
  <si>
    <t>G18 IFA.pdf</t>
  </si>
  <si>
    <t>02/18/07</t>
  </si>
  <si>
    <t>GRATING PLAN &amp; T.O.C. ELEV. 463-6 1/4"</t>
  </si>
  <si>
    <t>AMICO METALLURGICAL FABRICATORS INC.</t>
  </si>
  <si>
    <t>105811.pdf</t>
  </si>
  <si>
    <t>03/17/08</t>
  </si>
  <si>
    <t>PIVOT SUPPORT</t>
  </si>
  <si>
    <t>1051101/1051102</t>
  </si>
  <si>
    <t>D_56-02004_R0.dwg</t>
  </si>
  <si>
    <t>EFE-2007-040-BU-AS-18.dwg</t>
  </si>
  <si>
    <t>EFE-2007-040-BU-AS-08.dwg2000.dwg</t>
  </si>
  <si>
    <t>69-EL2_Rev. 5 - 69kV TAP PROJECT ELECTRICAL ELEVATION.dwg</t>
  </si>
  <si>
    <t>G29 A.pdf</t>
  </si>
  <si>
    <t>07/22/97</t>
  </si>
  <si>
    <t>MN509565-TU02_Rev0.pdf</t>
  </si>
  <si>
    <t>10/25/23</t>
  </si>
  <si>
    <t>STRUCTURE ASSEMBLY</t>
  </si>
  <si>
    <t>90000017.01.02</t>
  </si>
  <si>
    <t>INDUCO INDUSTRIAS INDUSTRIALES, S.A. DE C.V.</t>
  </si>
  <si>
    <t>24904.pdf</t>
  </si>
  <si>
    <t>24906.pdf</t>
  </si>
  <si>
    <t>06/21/00</t>
  </si>
  <si>
    <t>HANDRAILS — 24 900 HR 21 &amp; 22</t>
  </si>
  <si>
    <t>24 900 HR 21 &amp; 22</t>
  </si>
  <si>
    <t>HUMMELDOT METAL INC.</t>
  </si>
  <si>
    <t>QUALICO-BUZZI 28055CH REL-U SHOP BILL.pdf</t>
  </si>
  <si>
    <t>3</t>
  </si>
  <si>
    <t>02/04</t>
  </si>
  <si>
    <t>2805SCH-4</t>
  </si>
  <si>
    <t>QUALICO-BUZZI 28055CH-F SHOP BILL.pdf</t>
  </si>
  <si>
    <t>02/06</t>
  </si>
  <si>
    <t>28055SCH-F</t>
  </si>
  <si>
    <t>105817.pdf</t>
  </si>
  <si>
    <t>03/31/08</t>
  </si>
  <si>
    <t>105617D1</t>
  </si>
  <si>
    <t>BIS Fabrication Engineering Inc.</t>
  </si>
  <si>
    <t>13917.PDF</t>
  </si>
  <si>
    <t>Q-CHANNEL CHANNEL</t>
  </si>
  <si>
    <t>M.I. No. 1781</t>
  </si>
  <si>
    <t>EFE-2007-040-BU-AS-12.dwg</t>
  </si>
  <si>
    <t>ID 2447 - PH_Downcomer_Compressor.pdf</t>
  </si>
  <si>
    <t>PH DOWNCOMER COMPRESSOR</t>
  </si>
  <si>
    <t>2447</t>
  </si>
  <si>
    <t>Specifications</t>
  </si>
  <si>
    <t>0710660003.DWG</t>
  </si>
  <si>
    <t>EFE-2007-040-BU-AS-05.REV.E.dwg2000.dwg</t>
  </si>
  <si>
    <t>106204r0.pdf</t>
  </si>
  <si>
    <t>105808.pdf</t>
  </si>
  <si>
    <t>1008WP2</t>
  </si>
  <si>
    <t>PLATE FORMING INC.</t>
  </si>
  <si>
    <t>92805r1.pdf</t>
  </si>
  <si>
    <t>08/08/08</t>
  </si>
  <si>
    <t>SAGRODS</t>
  </si>
  <si>
    <t>92805</t>
  </si>
  <si>
    <t>106207r0.pdf</t>
  </si>
  <si>
    <t>FW21205 .pdf</t>
  </si>
  <si>
    <t>03/24/07</t>
  </si>
  <si>
    <t>BUCZEK UNKNOWN-YRR 7000 PROJECT, PREHEATER TOWER</t>
  </si>
  <si>
    <t>105823.pdf</t>
  </si>
  <si>
    <t>06/22/11</t>
  </si>
  <si>
    <t>7" WORK</t>
  </si>
  <si>
    <t>Bob Fresh Engineering Inc.</t>
  </si>
  <si>
    <t>105302.pdf</t>
  </si>
  <si>
    <t>100000001</t>
  </si>
  <si>
    <t>Evergreen Engineering Inc.</t>
  </si>
  <si>
    <t>105827.pdf</t>
  </si>
  <si>
    <t>BCC LUDLOW Engineered Metals, INC</t>
  </si>
  <si>
    <t>EFE-2007-040-BU-AS-19.dwg</t>
  </si>
  <si>
    <t>FW22920.PDF</t>
  </si>
  <si>
    <t>11/15/06</t>
  </si>
  <si>
    <t>HANDRAIL MK 2290HR1</t>
  </si>
  <si>
    <t>2290HR1</t>
  </si>
  <si>
    <t>61404r1.pdf</t>
  </si>
  <si>
    <t>S1</t>
  </si>
  <si>
    <t>SHOP DRAWING (S1) ASSEMBLY (S1) FITTER</t>
  </si>
  <si>
    <t>M.E.J. HOLB AND</t>
  </si>
  <si>
    <t>105304.pdf</t>
  </si>
  <si>
    <t>BUZZI UNICORN-RIVER 7000 PROJECT, RAW GRINDING &amp; BILLING</t>
  </si>
  <si>
    <t>103304B1</t>
  </si>
  <si>
    <t>EIS Fabrication Engineering Inc.</t>
  </si>
  <si>
    <t>2460-S20.dwg</t>
  </si>
  <si>
    <t>D_56-01986_R0.dwg</t>
  </si>
  <si>
    <t>101806r1.pdf</t>
  </si>
  <si>
    <t>02/19/08</t>
  </si>
  <si>
    <t>BILL OF MATERIAL - CONCRETE RESERVOIR PUMP PROJECT, CLUNKER TRANSFER &amp; STORAGE</t>
  </si>
  <si>
    <t>84446r0.pdf</t>
  </si>
  <si>
    <t>12/20/21</t>
  </si>
  <si>
    <t>SECTIONAL VERTICAL BRACE</t>
  </si>
  <si>
    <t>84446D1</t>
  </si>
  <si>
    <t>QUALICO QUALITY STEEL CO. INC.</t>
  </si>
  <si>
    <t>MN509565-TRS01_Rev1.pdf</t>
  </si>
  <si>
    <t>M000000-T0001</t>
  </si>
  <si>
    <t>DISEÑO DE MAQUINAS INDUSTRIALES S.A. DE C.V.</t>
  </si>
  <si>
    <t>108322r0.pdf</t>
  </si>
  <si>
    <t>EFE-2007-040-BU-AS-07 REV.E.dwg2000.dwg</t>
  </si>
  <si>
    <t>D_56-01988_R0.dwg</t>
  </si>
  <si>
    <t>FW21201.pdf</t>
  </si>
  <si>
    <t>A00</t>
  </si>
  <si>
    <t>08/21/07</t>
  </si>
  <si>
    <t>BUZZD UNIDYMEN-V700 PROJECT, PREHEATER TOWER</t>
  </si>
  <si>
    <t>21001</t>
  </si>
  <si>
    <t>ID 2451 - High_Pressure_Jet_Pump.pdf</t>
  </si>
  <si>
    <t>HIGH PRESSURE WATER JETTTING PUMP</t>
  </si>
  <si>
    <t>2451</t>
  </si>
  <si>
    <t>TKIS</t>
  </si>
  <si>
    <t>43501Ar1.pdf</t>
  </si>
  <si>
    <t>03/23/07</t>
  </si>
  <si>
    <t>TRUSS</t>
  </si>
  <si>
    <t>4350T1</t>
  </si>
  <si>
    <t>102404.rev0.pdf</t>
  </si>
  <si>
    <t>06/21/08</t>
  </si>
  <si>
    <t>BRACE</t>
  </si>
  <si>
    <t>102404</t>
  </si>
  <si>
    <t>QUALICO COM STEEL VICE</t>
  </si>
  <si>
    <t>ID 10072 - 79883-CC - Rev 1.pdf</t>
  </si>
  <si>
    <t>04/30/15</t>
  </si>
  <si>
    <t>Variocool Gas Cooling System</t>
  </si>
  <si>
    <t>9AP.067.000.02.10</t>
  </si>
  <si>
    <t>E12001R1.PDF</t>
  </si>
  <si>
    <t>12/08/06</t>
  </si>
  <si>
    <t>PROVIDER/CONTRACTOR PLAN EL. 443'-11"</t>
  </si>
  <si>
    <t>ID 2957 - Mueller_Duplex_DS.pdf</t>
  </si>
  <si>
    <t>Ball-Plex™ Cast Iron Forged Ended Duplex Strainers</t>
  </si>
  <si>
    <t>791FA</t>
  </si>
  <si>
    <t>Mueller Steam Specialty</t>
  </si>
  <si>
    <t>85416.pdf</t>
  </si>
  <si>
    <t>S6</t>
  </si>
  <si>
    <t>01/09/07</t>
  </si>
  <si>
    <t>8541G01</t>
  </si>
  <si>
    <t>105827r0.pdf</t>
  </si>
  <si>
    <t>BILL OF MATERIAL 100567A8</t>
  </si>
  <si>
    <t>100567A8</t>
  </si>
  <si>
    <t>105804r3.pdf</t>
  </si>
  <si>
    <t>08/11/08</t>
  </si>
  <si>
    <t>MN509560-TT02_Rev0.pdf</t>
  </si>
  <si>
    <t>01/02/23</t>
  </si>
  <si>
    <t>M000001792</t>
  </si>
  <si>
    <t>ID 2442 - A10040 Rev 12.pdf</t>
  </si>
  <si>
    <t>12</t>
  </si>
  <si>
    <t>11/13/09</t>
  </si>
  <si>
    <t>18" X 36" VERTICAL - AIR RESERVOIR</t>
  </si>
  <si>
    <t>A10040</t>
  </si>
  <si>
    <t>GAOVILLE LTD.</t>
  </si>
  <si>
    <t>BF-B6-09_00 Vacuum-break Door.dwg</t>
  </si>
  <si>
    <t>ID 2962 - Liquids_Level_Switch.pdf</t>
  </si>
  <si>
    <t>Liquids Level Switch liquiphant® T FTL 260</t>
  </si>
  <si>
    <t>I</t>
  </si>
  <si>
    <t>FTL 260</t>
  </si>
  <si>
    <t>G72 REV-0.pdf</t>
  </si>
  <si>
    <t>02/27/27</t>
  </si>
  <si>
    <t>GULY INC.</t>
  </si>
  <si>
    <t>ID 2953 - Air_Filter_Regulator.pdf</t>
  </si>
  <si>
    <t>04/98</t>
  </si>
  <si>
    <t>B74G Installation &amp; Maintenance Instructions</t>
  </si>
  <si>
    <t>B74G</t>
  </si>
  <si>
    <t>Norgren</t>
  </si>
  <si>
    <t>MN509565-TRS02_Rev1.pdf</t>
  </si>
  <si>
    <t>FW20217.PDF</t>
  </si>
  <si>
    <t>06/21/21</t>
  </si>
  <si>
    <t>ONE BEAM 2021T21</t>
  </si>
  <si>
    <t>MN509565-TU01_Rev0.pdf</t>
  </si>
  <si>
    <t>105819r3.pdf</t>
  </si>
  <si>
    <t>08/27</t>
  </si>
  <si>
    <t>105819D1</t>
  </si>
  <si>
    <t>106202r3.pdf</t>
  </si>
  <si>
    <t>19414.PDF</t>
  </si>
  <si>
    <t>02/05/07</t>
  </si>
  <si>
    <t>1941401</t>
  </si>
  <si>
    <t>ID 2964 - Ashcroft_Pressure_Gauge.pdf</t>
  </si>
  <si>
    <t>08/10/10</t>
  </si>
  <si>
    <t>Center Back Connection, 63 and 100mm, Type 1008S/SL Stainless Case Gauge</t>
  </si>
  <si>
    <t>Ashcroft Inc.</t>
  </si>
  <si>
    <t>G96 REV-0.pdf</t>
  </si>
  <si>
    <t>05/15/08</t>
  </si>
  <si>
    <t>BILL OF MATERIAL GRATING TYPE (H-BAR-S SERIES)</t>
  </si>
  <si>
    <t>17415.PDF</t>
  </si>
  <si>
    <t>05/16/07</t>
  </si>
  <si>
    <t>86905r1.PDF</t>
  </si>
  <si>
    <t>STAIR ASSEMBLY-MARKED 890551</t>
  </si>
  <si>
    <t>890551</t>
  </si>
  <si>
    <t>QUAICO QUALICO STEEL CO. INC.</t>
  </si>
  <si>
    <t>84433r0.pdf</t>
  </si>
  <si>
    <t>B4</t>
  </si>
  <si>
    <t>8443301</t>
  </si>
  <si>
    <t>20439.PDF</t>
  </si>
  <si>
    <t>SIDEWALK BEAMS</t>
  </si>
  <si>
    <t>Y-20S-MPB.pdf</t>
  </si>
  <si>
    <t>12/30/20</t>
  </si>
  <si>
    <t>8MM EDGE PD STOCK LINE SPRONKET</t>
  </si>
  <si>
    <t>Y-205-MPB</t>
  </si>
  <si>
    <t>W W PFP TECH CENTER</t>
  </si>
  <si>
    <t>MN509565-MP01_Rev0.pdf</t>
  </si>
  <si>
    <t>G75 REV-0.pdf</t>
  </si>
  <si>
    <t>12/27/07</t>
  </si>
  <si>
    <t>GULF ELECTRIC</t>
  </si>
  <si>
    <t>EXIST CLINKER Wall A5.1 Final  09-20-08.pdf</t>
  </si>
  <si>
    <t>06/10/16</t>
  </si>
  <si>
    <t>EXISTING CLUNKER SLIDING DETAILS</t>
  </si>
  <si>
    <t>CARBONE AND ASSOCIATES</t>
  </si>
  <si>
    <t>86901Ar1.PDF</t>
  </si>
  <si>
    <t>1-STAIR ASSEMBLY</t>
  </si>
  <si>
    <t>86901S1</t>
  </si>
  <si>
    <t>107941r0.pdf</t>
  </si>
  <si>
    <t>LADDER ASY</t>
  </si>
  <si>
    <t>107941L1</t>
  </si>
  <si>
    <t>M&amp;T WORKS</t>
  </si>
  <si>
    <t>26465.PDF</t>
  </si>
  <si>
    <t>MN509565-ES03_Rev0.pdf</t>
  </si>
  <si>
    <t>BENS PULLEY FRAME MN 46.1 TRUSS MN 35.2</t>
  </si>
  <si>
    <t>MN00000100</t>
  </si>
  <si>
    <t>INDUSTRIA DE MAQUINAS INDUSTRIALES, S.A. DE C.V.</t>
  </si>
  <si>
    <t>19419.PDF</t>
  </si>
  <si>
    <t>02/06/07</t>
  </si>
  <si>
    <t>ONE VERTICAL BRACE (1941001)</t>
  </si>
  <si>
    <t>1941001</t>
  </si>
  <si>
    <t>GUALICO STEEL CO. INC.</t>
  </si>
  <si>
    <t>MN509560-SG01_Rev0.pdf</t>
  </si>
  <si>
    <t>09/12/23</t>
  </si>
  <si>
    <t>STRINGER ASSEMBLY GRID A/B</t>
  </si>
  <si>
    <t>MN509560</t>
  </si>
  <si>
    <t>SISTEMA DE MAQUINAS INDUSTRIAIS S.A. DE C.V.</t>
  </si>
  <si>
    <t>26451.PDF</t>
  </si>
  <si>
    <t>05/29</t>
  </si>
  <si>
    <t>VERTICAL BRACE (D)</t>
  </si>
  <si>
    <t>M.C.I.</t>
  </si>
  <si>
    <t>G71 REV-0.pdf</t>
  </si>
  <si>
    <t>12/12/07</t>
  </si>
  <si>
    <t>S-TYPE GRATING - SEQ. 66 - PLAN SHEET</t>
  </si>
  <si>
    <t>SEQ. 66</t>
  </si>
  <si>
    <t>AMECO</t>
  </si>
  <si>
    <t>SD03r0.PDF</t>
  </si>
  <si>
    <t>B</t>
  </si>
  <si>
    <t>10/31/08</t>
  </si>
  <si>
    <t>TYPICAL BEAM CONNECTION WITH AXIAL LOAD</t>
  </si>
  <si>
    <t>G110 REV-0.pdf</t>
  </si>
  <si>
    <t>SERVICE PLATFORMS ELEVATION SURFACES</t>
  </si>
  <si>
    <t>S.C. STEEL FABRICATORS, INC.</t>
  </si>
  <si>
    <t>107933Cr1.pdf</t>
  </si>
  <si>
    <t>85426.pdf</t>
  </si>
  <si>
    <t>07/31/07</t>
  </si>
  <si>
    <t>1-V-BRACE-Marked 85426D1 CONFIGURATION</t>
  </si>
  <si>
    <t>85426D1</t>
  </si>
  <si>
    <t>17418.PDF</t>
  </si>
  <si>
    <t>01/25/07</t>
  </si>
  <si>
    <t>ONE VERTICAL BRACE</t>
  </si>
  <si>
    <t>17418D</t>
  </si>
  <si>
    <t>1262-02.dwg</t>
  </si>
  <si>
    <t>04/12/11</t>
  </si>
  <si>
    <t>FLOOR &amp; CEILING PLANS</t>
  </si>
  <si>
    <t>20438.PDF</t>
  </si>
  <si>
    <t>BRACE 2043B1</t>
  </si>
  <si>
    <t>2043B1</t>
  </si>
  <si>
    <t>QUALCO STEEL CO. INC.</t>
  </si>
  <si>
    <t>84948Br0.PDF</t>
  </si>
  <si>
    <t>12/20/07</t>
  </si>
  <si>
    <t>SBAR400</t>
  </si>
  <si>
    <t>17432.PDF</t>
  </si>
  <si>
    <t>ONE HORIZONTAL BRACE 17432D1, 17432D2, 17432D3, 17432D4</t>
  </si>
  <si>
    <t>17432</t>
  </si>
  <si>
    <t>61339r1.pdf</t>
  </si>
  <si>
    <t>01/27/07</t>
  </si>
  <si>
    <t>FLOOR BEAM</t>
  </si>
  <si>
    <t>QUALICO COALCO STEEL CO. INC.</t>
  </si>
  <si>
    <t>22441r1.pdf</t>
  </si>
  <si>
    <t>61921r0.PDF</t>
  </si>
  <si>
    <t>12/05/20</t>
  </si>
  <si>
    <t>1-HANDRAIL-MONSARRAT-S12012020-S1</t>
  </si>
  <si>
    <t>84455r0.pdf</t>
  </si>
  <si>
    <t>22609.PDF</t>
  </si>
  <si>
    <t>ONE VERTICAL BRACE 2X020B1</t>
  </si>
  <si>
    <t>S-61-21-020B</t>
  </si>
  <si>
    <t>84425r0.pdf</t>
  </si>
  <si>
    <t>84974r0.PDF</t>
  </si>
  <si>
    <t>04/17</t>
  </si>
  <si>
    <t>E4907</t>
  </si>
  <si>
    <t>22475.PDF</t>
  </si>
  <si>
    <t>06/29/07</t>
  </si>
  <si>
    <t>ONE VERTICAL BRACE 22475D1</t>
  </si>
  <si>
    <t>22475D1</t>
  </si>
  <si>
    <t>Humboldt Metal Works</t>
  </si>
  <si>
    <t>16404.PDF</t>
  </si>
  <si>
    <t>16040D</t>
  </si>
  <si>
    <t>106415r0.pdf</t>
  </si>
  <si>
    <t>06/06/08</t>
  </si>
  <si>
    <t>SECTION BRACE</t>
  </si>
  <si>
    <t>26455.PDF</t>
  </si>
  <si>
    <t>05/05/07</t>
  </si>
  <si>
    <t>S20 26B W/ 4" x 1/2" L-ANGLE 11' 1/4"</t>
  </si>
  <si>
    <t>S20 26B</t>
  </si>
  <si>
    <t>86406.pdf</t>
  </si>
  <si>
    <t>07/26/07</t>
  </si>
  <si>
    <t>85406D1</t>
  </si>
  <si>
    <t>84964r0.PDF</t>
  </si>
  <si>
    <t>06/15/24</t>
  </si>
  <si>
    <t>1-HANDRAIL-Mained 84964HR1</t>
  </si>
  <si>
    <t>65454.PDF</t>
  </si>
  <si>
    <t>05/01/07</t>
  </si>
  <si>
    <t>DETAILS OF VERTICAL BRACE</t>
  </si>
  <si>
    <t>6545401</t>
  </si>
  <si>
    <t>QUALICO STEEL CO., Inc.</t>
  </si>
  <si>
    <t>20429.PDF</t>
  </si>
  <si>
    <t>05/21/02</t>
  </si>
  <si>
    <t>ONE VERTICAL BRACE 20429D</t>
  </si>
  <si>
    <t>20429D</t>
  </si>
  <si>
    <t>63701.PDF</t>
  </si>
  <si>
    <t>02/16/07</t>
  </si>
  <si>
    <t>SHIPS SEQUENCES BILL OF MATERIAL ONE FRAME 63701FR1</t>
  </si>
  <si>
    <t>63701FR1</t>
  </si>
  <si>
    <t>88302r2.PDF</t>
  </si>
  <si>
    <t>01/08/08</t>
  </si>
  <si>
    <t>M.E.I. JOB# 06-29</t>
  </si>
  <si>
    <t>84408r0.pdf</t>
  </si>
  <si>
    <t>10/10/07</t>
  </si>
  <si>
    <t>22469.PDF</t>
  </si>
  <si>
    <t>02/07/07</t>
  </si>
  <si>
    <t>17102R3.PDF</t>
  </si>
  <si>
    <t>ARS 87-13 (P-87-13-C)</t>
  </si>
  <si>
    <t>12-40-4000-C-ST-1</t>
  </si>
  <si>
    <t>84946Cr1.PDF</t>
  </si>
  <si>
    <t>03/13/07</t>
  </si>
  <si>
    <t>UZZI CRUSHER RIVER 700 PROJECT, RAW GRINDING &amp; BLENDING</t>
  </si>
  <si>
    <t>20441.PDF</t>
  </si>
  <si>
    <t>02/07/10</t>
  </si>
  <si>
    <t>MISC. STEEL</t>
  </si>
  <si>
    <t>QUALITY STEEL CO., INC.</t>
  </si>
  <si>
    <t>22492.PDF</t>
  </si>
  <si>
    <t>84947Cr0.PDF</t>
  </si>
  <si>
    <t>26604.PDF</t>
  </si>
  <si>
    <t>05/21/04</t>
  </si>
  <si>
    <t>ONE HORIZONTAL BRACE DSS0421 and ONE HORIZONTAL BRACE DSS0423</t>
  </si>
  <si>
    <t>ID 1619 - A10129 Rev 12.pdf</t>
  </si>
  <si>
    <t>02/19/99</t>
  </si>
  <si>
    <t>STF TANK</t>
  </si>
  <si>
    <t>A10129</t>
  </si>
  <si>
    <t>STEEL FAB</t>
  </si>
  <si>
    <t>G62 REV-0.pdf</t>
  </si>
  <si>
    <t>10/23/37</t>
  </si>
  <si>
    <t>BILL OF MATERIAL - GRATING PLAN</t>
  </si>
  <si>
    <t>NATIONAL ASSOCIATION OF METAL MARKET FABRICATORS</t>
  </si>
  <si>
    <t>26499.PDF</t>
  </si>
  <si>
    <t>05/21/03</t>
  </si>
  <si>
    <t>ONE HORIZONTAL BRACE 249901 / ONE HORIZONTAL BRACE 249902</t>
  </si>
  <si>
    <t>249901</t>
  </si>
  <si>
    <t>24449.PDF</t>
  </si>
  <si>
    <t>02/23/05</t>
  </si>
  <si>
    <t>SKQ 24</t>
  </si>
  <si>
    <t>84468r0.pdf</t>
  </si>
  <si>
    <t>10/24/07</t>
  </si>
  <si>
    <t>MN509565-SG01_Rev0.dwg</t>
  </si>
  <si>
    <t>11/10/23</t>
  </si>
  <si>
    <t>Mounting Plate Details</t>
  </si>
  <si>
    <t>Global Engineering Ltd.</t>
  </si>
  <si>
    <t>36102.PDF</t>
  </si>
  <si>
    <t>SQUARE COLUMN-P12</t>
  </si>
  <si>
    <t>P12</t>
  </si>
  <si>
    <t>27902A.PDF</t>
  </si>
  <si>
    <t>03/09/07</t>
  </si>
  <si>
    <t>STAIR ASSEMBLY - Market 27902S1</t>
  </si>
  <si>
    <t>27902S</t>
  </si>
  <si>
    <t>86903Br1.PDF</t>
  </si>
  <si>
    <t>65459.PDF</t>
  </si>
  <si>
    <t>08/07/07</t>
  </si>
  <si>
    <t>ONE VERTICAL BRACE 65490</t>
  </si>
  <si>
    <t>65490</t>
  </si>
  <si>
    <t>INDUSTRIAL STEEL CO. INC.</t>
  </si>
  <si>
    <t>85932.PDF</t>
  </si>
  <si>
    <t>HANDRAILS</t>
  </si>
  <si>
    <t>BM000001</t>
  </si>
  <si>
    <t>92207.PDF</t>
  </si>
  <si>
    <t>27924.PDF</t>
  </si>
  <si>
    <t>09/21</t>
  </si>
  <si>
    <t>1-HAMB-SUL HAMBLOT WEDC INC.</t>
  </si>
  <si>
    <t>100-01-SUL</t>
  </si>
  <si>
    <t>26496.PDF</t>
  </si>
  <si>
    <t>22602.PDF</t>
  </si>
  <si>
    <t>26612.PDF</t>
  </si>
  <si>
    <t>05-08-20</t>
  </si>
  <si>
    <t>HORIZONTAL BRACES</t>
  </si>
  <si>
    <t>26612D1</t>
  </si>
  <si>
    <t>102403.rev0.pdf</t>
  </si>
  <si>
    <t>95909r1.PDF</t>
  </si>
  <si>
    <t>M0000001</t>
  </si>
  <si>
    <t>G23-REV 0.pdf</t>
  </si>
  <si>
    <t>05/08/97</t>
  </si>
  <si>
    <t>SADDLE IRON WORKS, INC.</t>
  </si>
  <si>
    <t>16433.PDF</t>
  </si>
  <si>
    <t>17103R1.PDF</t>
  </si>
  <si>
    <t>02/17/07</t>
  </si>
  <si>
    <t>Drawing of structural layout</t>
  </si>
  <si>
    <t>22614.PDF</t>
  </si>
  <si>
    <t>L30-T-30000</t>
  </si>
  <si>
    <t>22618.PDF</t>
  </si>
  <si>
    <t>09/29/07</t>
  </si>
  <si>
    <t>22B</t>
  </si>
  <si>
    <t>36101.PDF</t>
  </si>
  <si>
    <t>08/21/21</t>
  </si>
  <si>
    <t>BUZZI UNION RIVER 700 PRODUCT</t>
  </si>
  <si>
    <t>88911.PDF</t>
  </si>
  <si>
    <t>Bill of Materials</t>
  </si>
  <si>
    <t>G10.pdf</t>
  </si>
  <si>
    <t>08/11/07</t>
  </si>
  <si>
    <t>GRATING DETAILS</t>
  </si>
  <si>
    <t>05200341-18-BODNOCK</t>
  </si>
  <si>
    <t>AMCO PRESSURE VESSELS</t>
  </si>
  <si>
    <t>108207r1.PDF</t>
  </si>
  <si>
    <t>100207B1</t>
  </si>
  <si>
    <t>84472r0.pdf</t>
  </si>
  <si>
    <t>06/13/07</t>
  </si>
  <si>
    <t>1-V-BRACE-Marked 84472D1</t>
  </si>
  <si>
    <t>W2010</t>
  </si>
  <si>
    <t>24226R1.PDF</t>
  </si>
  <si>
    <t>27904B.PDF</t>
  </si>
  <si>
    <t>TYPICAL MITER CUT DETAIL</t>
  </si>
  <si>
    <t>24440.PDF</t>
  </si>
  <si>
    <t>04/07/05</t>
  </si>
  <si>
    <t>MN509560-TT01_Rev0.pdf</t>
  </si>
  <si>
    <t>12414.PDF</t>
  </si>
  <si>
    <t>84460r0.pdf</t>
  </si>
  <si>
    <t>26625.PDF</t>
  </si>
  <si>
    <t>SEQ 26B</t>
  </si>
  <si>
    <t>MN509565-ES02_Rev0.pdf</t>
  </si>
  <si>
    <t>02/02/15</t>
  </si>
  <si>
    <t>TRUSS MK 35.1 (LIFT)</t>
  </si>
  <si>
    <t>SUCCO UNICORP / DISEGNO DI MACCHINE INDUSTRIALI S.A. DE C.V.</t>
  </si>
  <si>
    <t>28055CH-G102 REV-0.pdf</t>
  </si>
  <si>
    <t>02/08/08</t>
  </si>
  <si>
    <t>BILL OF MATERIAL GRATING TYPE (8-4-0 SERVICED)</t>
  </si>
  <si>
    <t>G115 REV-0.pdf</t>
  </si>
  <si>
    <t>04/24/08</t>
  </si>
  <si>
    <t>GRATING PLAN &amp; T.O.C. ELEV.</t>
  </si>
  <si>
    <t>27007CH</t>
  </si>
  <si>
    <t>AMICO</t>
  </si>
  <si>
    <t>95903Br2.PDF</t>
  </si>
  <si>
    <t>84403r0.pdf</t>
  </si>
  <si>
    <t>08/13/07</t>
  </si>
  <si>
    <t>BR40201</t>
  </si>
  <si>
    <t>28402.PDF</t>
  </si>
  <si>
    <t>BILL OF MATERIAL - HORIZONTAL BRACE</t>
  </si>
  <si>
    <t>28402</t>
  </si>
  <si>
    <t>MN509565-ST01_Rev1.pdf</t>
  </si>
  <si>
    <t>26626.PDF</t>
  </si>
  <si>
    <t>SEQ 28B</t>
  </si>
  <si>
    <t>16401.PDF</t>
  </si>
  <si>
    <t>37402r-1.PDF</t>
  </si>
  <si>
    <t>06-21 37402</t>
  </si>
  <si>
    <t>108323r0.pdf</t>
  </si>
  <si>
    <t>10/01/08</t>
  </si>
  <si>
    <t>95902C.PDF</t>
  </si>
  <si>
    <t>06/21/07</t>
  </si>
  <si>
    <t>STAIR ASSEMBLY FOR SERVER 7000 PROJECT, CLUNKER TUNNEL ENCLOSURE PL</t>
  </si>
  <si>
    <t>84424r0.pdf</t>
  </si>
  <si>
    <t>26618.PDF</t>
  </si>
  <si>
    <t>BILL OF MATERIAL - ONE HORIZONTAL BRACE 261881</t>
  </si>
  <si>
    <t>261881</t>
  </si>
  <si>
    <t>1261-04.dwg</t>
  </si>
  <si>
    <t>Wall Elevations</t>
  </si>
  <si>
    <t>S-120-04</t>
  </si>
  <si>
    <t>84454r0.pdf</t>
  </si>
  <si>
    <t>VERTICAL BRACE</t>
  </si>
  <si>
    <t>84454D1</t>
  </si>
  <si>
    <t>HUMBOLDT WEDAG, INC.</t>
  </si>
  <si>
    <t>11495w1.dwg</t>
  </si>
  <si>
    <t>09/13/02</t>
  </si>
  <si>
    <t>ELEMENTARY DIAGRAM</t>
  </si>
  <si>
    <t>Siemens Industry, Inc.</t>
  </si>
  <si>
    <t>24433.PDF</t>
  </si>
  <si>
    <t>17421.PDF</t>
  </si>
  <si>
    <t>02/07/01</t>
  </si>
  <si>
    <t>ONE VERTICAL BRACE 174201</t>
  </si>
  <si>
    <t>174201</t>
  </si>
  <si>
    <t>93908Ar1.PDF</t>
  </si>
  <si>
    <t>03/12/07</t>
  </si>
  <si>
    <t>BILL OF MATERIAL - STAIR ASSEMBLY</t>
  </si>
  <si>
    <t>9309051</t>
  </si>
  <si>
    <t>HUMBOLDT WEBOTT, INC.</t>
  </si>
  <si>
    <t>84474r0.pdf</t>
  </si>
  <si>
    <t>05/13/07</t>
  </si>
  <si>
    <t>146058QI9008.dwg</t>
  </si>
  <si>
    <t>WIRING DIAGRAM MISCELLANEOUS FOR INTERNAL USE ONLY</t>
  </si>
  <si>
    <t>W</t>
  </si>
  <si>
    <t>21-0001-01</t>
  </si>
  <si>
    <t>TOSHIBA</t>
  </si>
  <si>
    <t>24429.PDF</t>
  </si>
  <si>
    <t>06/28/00</t>
  </si>
  <si>
    <t>WPL 4 WPL 4 WPL 4 L CUSTOMIZED</t>
  </si>
  <si>
    <t>24C20B1</t>
  </si>
  <si>
    <t>24331.PDF</t>
  </si>
  <si>
    <t>Section and Elevation Views of Steel Framing</t>
  </si>
  <si>
    <t>13331 B1</t>
  </si>
  <si>
    <t>84450r0.pdf</t>
  </si>
  <si>
    <t>84450D1</t>
  </si>
  <si>
    <t>86901Br1.PDF</t>
  </si>
  <si>
    <t>STAR1 ASSEMBLY</t>
  </si>
  <si>
    <t>080015</t>
  </si>
  <si>
    <t>D_59-00259_0.dwg</t>
  </si>
  <si>
    <t>2S-4007</t>
  </si>
  <si>
    <t>88904B.PDF</t>
  </si>
  <si>
    <t>01</t>
  </si>
  <si>
    <t>11/07/07</t>
  </si>
  <si>
    <t>24437.PDF</t>
  </si>
  <si>
    <t>22469r1.PDF</t>
  </si>
  <si>
    <t>VERTICAL BRACING</t>
  </si>
  <si>
    <t>2246001</t>
  </si>
  <si>
    <t>G11.pdf</t>
  </si>
  <si>
    <t>S-C-GRATING-S-S1C01</t>
  </si>
  <si>
    <t>B1C-02-C01-N01-R1</t>
  </si>
  <si>
    <t>AMCO SQUARE TOP GRATING</t>
  </si>
  <si>
    <t>84405r0.pdf</t>
  </si>
  <si>
    <t>06-29</t>
  </si>
  <si>
    <t>17438.PDF</t>
  </si>
  <si>
    <t>08/29/98</t>
  </si>
  <si>
    <t>ONE HORIZONTAL BRACE</t>
  </si>
  <si>
    <t>1743803</t>
  </si>
  <si>
    <t>26609.PDF</t>
  </si>
  <si>
    <t>05/29/07</t>
  </si>
  <si>
    <t>BRACE SECTION 26A</t>
  </si>
  <si>
    <t>17424.PDF</t>
  </si>
  <si>
    <t>217005</t>
  </si>
  <si>
    <t>61931r0.PDF</t>
  </si>
  <si>
    <t>07/07</t>
  </si>
  <si>
    <t>HORIZONTAL</t>
  </si>
  <si>
    <t>610HR1</t>
  </si>
  <si>
    <t>84965r0.PDF</t>
  </si>
  <si>
    <t>40795</t>
  </si>
  <si>
    <t>20419.PDF</t>
  </si>
  <si>
    <t>20419</t>
  </si>
  <si>
    <t>C.A.L.I.C.O STEEL CO. INC.</t>
  </si>
  <si>
    <t>28406.PDF</t>
  </si>
  <si>
    <t>08/08/07</t>
  </si>
  <si>
    <t>BRIDGE-RAILING - RIVER 7000 PROJECT</t>
  </si>
  <si>
    <t>22000</t>
  </si>
  <si>
    <t>16439.PDF</t>
  </si>
  <si>
    <t>HORIZONTAL BRACE</t>
  </si>
  <si>
    <t>28055CH-G56 REV-0.pdf</t>
  </si>
  <si>
    <t>03/28/97</t>
  </si>
  <si>
    <t>19440.PDF</t>
  </si>
  <si>
    <t>05/29/00</t>
  </si>
  <si>
    <t>BILL OF MATERIAL / HORIZONTAL BRACE</t>
  </si>
  <si>
    <t>1944001</t>
  </si>
  <si>
    <t>86405.pdf</t>
  </si>
  <si>
    <t>84975r0.PDF</t>
  </si>
  <si>
    <t>20447R1.PDF</t>
  </si>
  <si>
    <t>02/21/07</t>
  </si>
  <si>
    <t>BUZZI RIVER-7000 PROJECT RIVER 7000</t>
  </si>
  <si>
    <t>108902Ar0.pdf</t>
  </si>
  <si>
    <t>1-STAIR ASSEMBLY, BUTTON OF BLENDING SILO</t>
  </si>
  <si>
    <t>71427.PDF</t>
  </si>
  <si>
    <t>66920.PDF</t>
  </si>
  <si>
    <t>ONE HANDRAIL E6520WHRI</t>
  </si>
  <si>
    <t>E6520WHRI</t>
  </si>
  <si>
    <t>22464.PDF</t>
  </si>
  <si>
    <t>ONE VERTICAL BRACE 22464D1</t>
  </si>
  <si>
    <t>22464D1</t>
  </si>
  <si>
    <t>71423.PDF</t>
  </si>
  <si>
    <t>88421.PDF</t>
  </si>
  <si>
    <t>PLATE</t>
  </si>
  <si>
    <t>88421P1</t>
  </si>
  <si>
    <t>66419.PDF</t>
  </si>
  <si>
    <t>22462.PDF</t>
  </si>
  <si>
    <t>02/23/07</t>
  </si>
  <si>
    <t>ONE VERTICAL BRACE 22462D1</t>
  </si>
  <si>
    <t>22462D1</t>
  </si>
  <si>
    <t>65480.PDF</t>
  </si>
  <si>
    <t>07/07/07</t>
  </si>
  <si>
    <t>65480D1</t>
  </si>
  <si>
    <t>20313.PDF</t>
  </si>
  <si>
    <t>06/21/12</t>
  </si>
  <si>
    <t>20219.PDF</t>
  </si>
  <si>
    <t>ONE BEAM 2021SB1</t>
  </si>
  <si>
    <t>2021SB1</t>
  </si>
  <si>
    <t>65348.PDF</t>
  </si>
  <si>
    <t>BEAM SERIES BILL OF MATERIAL</t>
  </si>
  <si>
    <t>05438B1</t>
  </si>
  <si>
    <t>94305r1.PDF</t>
  </si>
  <si>
    <t>08/30/07</t>
  </si>
  <si>
    <t>81213.PDF</t>
  </si>
  <si>
    <t>RAW GRINDING &amp; BLENDING</t>
  </si>
  <si>
    <t>B121082</t>
  </si>
  <si>
    <t>71418.PDF</t>
  </si>
  <si>
    <t>06/05/07</t>
  </si>
  <si>
    <t>BUTTE GATON-RIVER TOWER 7000 PROJECT 418L4 SYSTEM BASE HOUSE - BRACE</t>
  </si>
  <si>
    <t>7(418D1)</t>
  </si>
  <si>
    <t>24211.PDF</t>
  </si>
  <si>
    <t>08/21/11</t>
  </si>
  <si>
    <t>240181</t>
  </si>
  <si>
    <t>72404.PDF</t>
  </si>
  <si>
    <t>26470.PDF</t>
  </si>
  <si>
    <t>05/07/07</t>
  </si>
  <si>
    <t>247001</t>
  </si>
  <si>
    <t>88914.PDF</t>
  </si>
  <si>
    <t>88914HR1</t>
  </si>
  <si>
    <t>G59 REV-0.pdf</t>
  </si>
  <si>
    <t>REC</t>
  </si>
  <si>
    <t>12/16/27</t>
  </si>
  <si>
    <t>GRATING PLAN @ T.O.G. ELEV. 45'-11"</t>
  </si>
  <si>
    <t>NORTH AMERICAN ASSOCIATION OF MANUFACTURERS</t>
  </si>
  <si>
    <t>19412.PDF</t>
  </si>
  <si>
    <t>10/30/07</t>
  </si>
  <si>
    <t>S.T.S. DETAILS &amp; B.O.M. FOR S.T.S. FABRICATION</t>
  </si>
  <si>
    <t>20308.PDF</t>
  </si>
  <si>
    <t>68916.PDF</t>
  </si>
  <si>
    <t>05/05/27</t>
  </si>
  <si>
    <t>Manhole 0001R41</t>
  </si>
  <si>
    <t>0001R41</t>
  </si>
  <si>
    <t>G05.PDF</t>
  </si>
  <si>
    <t>02/27/03</t>
  </si>
  <si>
    <t>BILL OF MATERIALS</t>
  </si>
  <si>
    <t>BUHLMAN, STEEL</t>
  </si>
  <si>
    <t>28216.PDF</t>
  </si>
  <si>
    <t>05/21/14</t>
  </si>
  <si>
    <t>ONE BEAM DB21 16192 ONE BEAM DB21 16182</t>
  </si>
  <si>
    <t>DB21 16192</t>
  </si>
  <si>
    <t>12314R1.PDF</t>
  </si>
  <si>
    <t>04</t>
  </si>
  <si>
    <t>06/03/08</t>
  </si>
  <si>
    <t>B221 UNICON RIVER - 7000 FOOT PROJECT</t>
  </si>
  <si>
    <t>12314</t>
  </si>
  <si>
    <t>28456.PDF</t>
  </si>
  <si>
    <t>24110.PDF</t>
  </si>
  <si>
    <t>24108.PDF</t>
  </si>
  <si>
    <t>05/21/08</t>
  </si>
  <si>
    <t>B221 UZZAN RIVER - RIVER TOOD PROJECT</t>
  </si>
  <si>
    <t>24108C1</t>
  </si>
  <si>
    <t>17305.PDF</t>
  </si>
  <si>
    <t>QUALICO STEEL CO. INC. NEB. ALBERTA</t>
  </si>
  <si>
    <t>28311.PDF</t>
  </si>
  <si>
    <t>BULET SECTION 40-1000 PROJECT</t>
  </si>
  <si>
    <t>11110Ar1.PDF</t>
  </si>
  <si>
    <t>16221R1.PDF</t>
  </si>
  <si>
    <t>S41-2</t>
  </si>
  <si>
    <t>30408R1.PDF</t>
  </si>
  <si>
    <t>HORIZONTAL BRACE 3040B1 and 3040B2</t>
  </si>
  <si>
    <t>3040B1</t>
  </si>
  <si>
    <t>65213.PDF</t>
  </si>
  <si>
    <t>08/12/03</t>
  </si>
  <si>
    <t>TOWER CONSTRUCTION</t>
  </si>
  <si>
    <t>88917.PDF</t>
  </si>
  <si>
    <t>13202.PDF</t>
  </si>
  <si>
    <t>02/12/05</t>
  </si>
  <si>
    <t>ONE BEAM 13020B1</t>
  </si>
  <si>
    <t>13020B1</t>
  </si>
  <si>
    <t>20415.PDF</t>
  </si>
  <si>
    <t>2041S</t>
  </si>
  <si>
    <t>61945r0.PDF</t>
  </si>
  <si>
    <t>SUREFIRE PROP.</t>
  </si>
  <si>
    <t>HR01r0.PDF</t>
  </si>
  <si>
    <t>typical rail details</t>
  </si>
  <si>
    <t>12417.PDF</t>
  </si>
  <si>
    <t>ONE VERTICAL BRACE (2x147D)</t>
  </si>
  <si>
    <t>2147D</t>
  </si>
  <si>
    <t>Milwaukee Terminal</t>
  </si>
  <si>
    <t>81920.PDF</t>
  </si>
  <si>
    <t>07/05/07</t>
  </si>
  <si>
    <t>SCAFFOLDING / HANDRAIL / MISC. METAL</t>
  </si>
  <si>
    <t>B1 020B 252</t>
  </si>
  <si>
    <t>88909.PDF</t>
  </si>
  <si>
    <t>8809HR1</t>
  </si>
  <si>
    <t>87937r1.PDF</t>
  </si>
  <si>
    <t>02/09/07</t>
  </si>
  <si>
    <t>87937HR1</t>
  </si>
  <si>
    <t>26241A.PDF</t>
  </si>
  <si>
    <t>ONE BEAM 26241B</t>
  </si>
  <si>
    <t>26241B</t>
  </si>
  <si>
    <t>DUALCO STEEL CO. INC.</t>
  </si>
  <si>
    <t>108909r1.PDF</t>
  </si>
  <si>
    <t>BW-04000</t>
  </si>
  <si>
    <t>17422.PDF</t>
  </si>
  <si>
    <t>BILL OF MATERIAL - ONE VERTICAL BRACE 12422D1</t>
  </si>
  <si>
    <t>12422D1</t>
  </si>
  <si>
    <t>28910R1.pdf</t>
  </si>
  <si>
    <t>Handrail assembly</t>
  </si>
  <si>
    <t>289/0812/01 H21</t>
  </si>
  <si>
    <t>G64 REV-0.pdf</t>
  </si>
  <si>
    <t>08/20/07</t>
  </si>
  <si>
    <t>72422.PDF</t>
  </si>
  <si>
    <t>30401.pdf</t>
  </si>
  <si>
    <t>30401</t>
  </si>
  <si>
    <t>88312.PDF</t>
  </si>
  <si>
    <t>83312B1</t>
  </si>
  <si>
    <t>65964A.PDF</t>
  </si>
  <si>
    <t>24335.PDF</t>
  </si>
  <si>
    <t>72413.PDF</t>
  </si>
  <si>
    <t>05/08/07</t>
  </si>
  <si>
    <t>ONE VERTICAL BRACE TZ41301</t>
  </si>
  <si>
    <t>TZ41301</t>
  </si>
  <si>
    <t>28425.PDF</t>
  </si>
  <si>
    <t>06/21/13</t>
  </si>
  <si>
    <t>ONE VERTICAL IMAGE 28458D1 FITTING DETAILS</t>
  </si>
  <si>
    <t>28458D1</t>
  </si>
  <si>
    <t>63309.PDF</t>
  </si>
  <si>
    <t>09/09/07</t>
  </si>
  <si>
    <t>Structural steel beam assembly</t>
  </si>
  <si>
    <t>63309B1</t>
  </si>
  <si>
    <t>19204.PDF</t>
  </si>
  <si>
    <t>83407r1.PDF</t>
  </si>
  <si>
    <t>10/17/07</t>
  </si>
  <si>
    <t>834070D1</t>
  </si>
  <si>
    <t>26484.PDF</t>
  </si>
  <si>
    <t>86921r2.PDF</t>
  </si>
  <si>
    <t>01/04/08</t>
  </si>
  <si>
    <t>88929.PDF</t>
  </si>
  <si>
    <t>88929HR1</t>
  </si>
  <si>
    <t>QUALICO CO LTD</t>
  </si>
  <si>
    <t>16402.PDF</t>
  </si>
  <si>
    <t>01/18/07</t>
  </si>
  <si>
    <t>16402D1</t>
  </si>
  <si>
    <t>27903C.PDF</t>
  </si>
  <si>
    <t>04/11/07</t>
  </si>
  <si>
    <t>ZZILI LUNCAYRA RIVER 2000 PROJECT, PREHEATER TOWER</t>
  </si>
  <si>
    <t>17213R2.PDF</t>
  </si>
  <si>
    <t>08/21/22</t>
  </si>
  <si>
    <t>F213182</t>
  </si>
  <si>
    <t>Qualico Steel Co., Inc.</t>
  </si>
  <si>
    <t>17336.PDF</t>
  </si>
  <si>
    <t>BEAM TO BEAM</t>
  </si>
  <si>
    <t>17336</t>
  </si>
  <si>
    <t>16213r1.PDF</t>
  </si>
  <si>
    <t>17326R1.PDF</t>
  </si>
  <si>
    <t>10/27/23</t>
  </si>
  <si>
    <t>BILL OF MATERIAL OF PATERNAL</t>
  </si>
  <si>
    <t>GUALICO STEEL CO., INC.</t>
  </si>
  <si>
    <t>65216r2.pdf</t>
  </si>
  <si>
    <t>26406.PDF</t>
  </si>
  <si>
    <t>71416.PDF</t>
  </si>
  <si>
    <t>01/20/12</t>
  </si>
  <si>
    <t>714881</t>
  </si>
  <si>
    <t>G04.PDF</t>
  </si>
  <si>
    <t>02/27/22</t>
  </si>
  <si>
    <t>AMICO CORPORATION</t>
  </si>
  <si>
    <t>26426.PDF</t>
  </si>
  <si>
    <t>2X454011</t>
  </si>
  <si>
    <t>82906.PDF</t>
  </si>
  <si>
    <t>91905.PDF</t>
  </si>
  <si>
    <t>FW23205.PDF</t>
  </si>
  <si>
    <t>SECTION-MAIN-BEAM-220001</t>
  </si>
  <si>
    <t>220001</t>
  </si>
  <si>
    <t>71420.PDF</t>
  </si>
  <si>
    <t>19427.PDF</t>
  </si>
  <si>
    <t>02/07/null</t>
  </si>
  <si>
    <t>ONE VERTICAL BRACE (1942T01) B.T.S. DETAILS &amp; B.O.M. FOR BASE SECTION NO. 1</t>
  </si>
  <si>
    <t>1942T01</t>
  </si>
  <si>
    <t>17218R1.PDF</t>
  </si>
  <si>
    <t>06/21/11</t>
  </si>
  <si>
    <t>S-1140-11</t>
  </si>
  <si>
    <t>84929Br0.PDF</t>
  </si>
  <si>
    <t>02/24/08</t>
  </si>
  <si>
    <t>SECTION STAIR ASSEMBLY</t>
  </si>
  <si>
    <t>18409.PDF</t>
  </si>
  <si>
    <t>24101.PDF</t>
  </si>
  <si>
    <t>03/23/05</t>
  </si>
  <si>
    <t>SECTION DW No. 5 - ELEMENTS</t>
  </si>
  <si>
    <t>72914.PDF</t>
  </si>
  <si>
    <t>SHOP SEQUENCES BILL OF MATERIAL</t>
  </si>
  <si>
    <t>72914HR1</t>
  </si>
  <si>
    <t>46915r0.PDF</t>
  </si>
  <si>
    <t>04/04/00</t>
  </si>
  <si>
    <t>85939.PDF</t>
  </si>
  <si>
    <t>07/12/07</t>
  </si>
  <si>
    <t>850939HR2</t>
  </si>
  <si>
    <t>93940r0.PDF</t>
  </si>
  <si>
    <t>07/01/19</t>
  </si>
  <si>
    <t>93940HR1</t>
  </si>
  <si>
    <t>88919.PDF</t>
  </si>
  <si>
    <t>09/13/07</t>
  </si>
  <si>
    <t>88919HR1</t>
  </si>
  <si>
    <t>22240R1.PDF</t>
  </si>
  <si>
    <t>Drawing of structural beam details</t>
  </si>
  <si>
    <t>84937r0.PDF</t>
  </si>
  <si>
    <t>10/01/07</t>
  </si>
  <si>
    <t>8497</t>
  </si>
  <si>
    <t>26358.PDF</t>
  </si>
  <si>
    <t>93202r0.PDF</t>
  </si>
  <si>
    <t>02/19/07</t>
  </si>
  <si>
    <t>93202B1</t>
  </si>
  <si>
    <t>QUALICO COALED STEEL CO. INC.</t>
  </si>
  <si>
    <t>28318.PDF</t>
  </si>
  <si>
    <t>85918.PDF</t>
  </si>
  <si>
    <t>EL499-1114</t>
  </si>
  <si>
    <t>86938r2.PDF</t>
  </si>
  <si>
    <t>01/14/08</t>
  </si>
  <si>
    <t>8693</t>
  </si>
  <si>
    <t>FW23202.PDF</t>
  </si>
  <si>
    <t>08/29/00</t>
  </si>
  <si>
    <t>SLIDE UNCOATED INNER PRODUCT PREHEATERS TOWER</t>
  </si>
  <si>
    <t>26352.PDF</t>
  </si>
  <si>
    <t>28329.PDF</t>
  </si>
  <si>
    <t>20406.PDF</t>
  </si>
  <si>
    <t>65963A.PDF</t>
  </si>
  <si>
    <t>G58 REV-0.pdf</t>
  </si>
  <si>
    <t>GRATING TYPE B BILL OF MATERIAL</t>
  </si>
  <si>
    <t>26403.PDF</t>
  </si>
  <si>
    <t>ONE VERTICAL SPACE 26403031</t>
  </si>
  <si>
    <t>26229.PDF</t>
  </si>
  <si>
    <t>W.P.N. 2-B l-1-2-3-4</t>
  </si>
  <si>
    <t>2529381</t>
  </si>
  <si>
    <t>26317.PDF</t>
  </si>
  <si>
    <t>05/02/07</t>
  </si>
  <si>
    <t>11418.PDF</t>
  </si>
  <si>
    <t>12/01/06</t>
  </si>
  <si>
    <t>22307r2.pdf</t>
  </si>
  <si>
    <t>81902.PDF</t>
  </si>
  <si>
    <t>08/24/07</t>
  </si>
  <si>
    <t>24111.PDF</t>
  </si>
  <si>
    <t>10/07/24</t>
  </si>
  <si>
    <t>ONE COLUMN 21111</t>
  </si>
  <si>
    <t>S179888</t>
  </si>
  <si>
    <t>85909.PDF</t>
  </si>
  <si>
    <t>26102.PDF</t>
  </si>
  <si>
    <t>ONE COLUMN PS100C1</t>
  </si>
  <si>
    <t>PS100C1</t>
  </si>
  <si>
    <t>12426r1.PDF</t>
  </si>
  <si>
    <t>12/05/06</t>
  </si>
  <si>
    <t>G99 REV-0.pdf</t>
  </si>
  <si>
    <t>GRATING PLAN @ T.O.G. ELEV. 502'-11 1/4"</t>
  </si>
  <si>
    <t>NAAMMM</t>
  </si>
  <si>
    <t>71414.PDF</t>
  </si>
  <si>
    <t>88918.PDF</t>
  </si>
  <si>
    <t>08/19/07</t>
  </si>
  <si>
    <t>8891HR1</t>
  </si>
  <si>
    <t>SURE-FIRE</t>
  </si>
  <si>
    <t>30431.pdf</t>
  </si>
  <si>
    <t>01/21/07</t>
  </si>
  <si>
    <t>VERTICAL BRACES RIVER 7000 PROJECT</t>
  </si>
  <si>
    <t>30431</t>
  </si>
  <si>
    <t>16304R1.PDF</t>
  </si>
  <si>
    <t>01/02/07</t>
  </si>
  <si>
    <t>83905.PDF</t>
  </si>
  <si>
    <t>09/19/17</t>
  </si>
  <si>
    <t>1-HANDRAIL-Manual</t>
  </si>
  <si>
    <t>800SR142</t>
  </si>
  <si>
    <t>30425.pdf</t>
  </si>
  <si>
    <t>30423.pdf</t>
  </si>
  <si>
    <t>ONE VERTICAL BRACE 30231</t>
  </si>
  <si>
    <t>30231</t>
  </si>
  <si>
    <t>24218.PDF</t>
  </si>
  <si>
    <t>30407.pdf</t>
  </si>
  <si>
    <t>06/21/09</t>
  </si>
  <si>
    <t>30407D1</t>
  </si>
  <si>
    <t>44919r0.PDF</t>
  </si>
  <si>
    <t>04/10/07</t>
  </si>
  <si>
    <t>4491HR1</t>
  </si>
  <si>
    <t>65932.PDF</t>
  </si>
  <si>
    <t>01/11/17</t>
  </si>
  <si>
    <t>ONE HANDRAIL</t>
  </si>
  <si>
    <t>053206R1</t>
  </si>
  <si>
    <t>17325.PDF</t>
  </si>
  <si>
    <t>17325</t>
  </si>
  <si>
    <t>84921r0.PDF</t>
  </si>
  <si>
    <t>B421HR1</t>
  </si>
  <si>
    <t>HUMMELDOT WEDAG, INC.</t>
  </si>
  <si>
    <t>35307R1.pdf</t>
  </si>
  <si>
    <t>02/20/08</t>
  </si>
  <si>
    <t>BEAM TO BEAM - RIVER FLOOD PROJECT</t>
  </si>
  <si>
    <t>35307B1</t>
  </si>
  <si>
    <t>92602.PDF</t>
  </si>
  <si>
    <t>08/02/07</t>
  </si>
  <si>
    <t>ROOF PURLINE</t>
  </si>
  <si>
    <t>N202B1</t>
  </si>
  <si>
    <t>95903Ar1.PDF</t>
  </si>
  <si>
    <t>RFE</t>
  </si>
  <si>
    <t>W95021</t>
  </si>
  <si>
    <t>26103.PDF</t>
  </si>
  <si>
    <t>BUZZI UNION RAILWAY - RIVER 7000 PROJECT</t>
  </si>
  <si>
    <t>26103C1</t>
  </si>
  <si>
    <t>26215A.PDF</t>
  </si>
  <si>
    <t>71406.PDF</t>
  </si>
  <si>
    <t>06/09/21</t>
  </si>
  <si>
    <t>ONE VERTICAL BRACE 71406D1</t>
  </si>
  <si>
    <t>11406D1-A</t>
  </si>
  <si>
    <t>28460.PDF</t>
  </si>
  <si>
    <t>ONE VERTICAL BRACE 2846001</t>
  </si>
  <si>
    <t>2846001</t>
  </si>
  <si>
    <t>63420.PDF</t>
  </si>
  <si>
    <t>09/21/07</t>
  </si>
  <si>
    <t>63420</t>
  </si>
  <si>
    <t>66103.PDF</t>
  </si>
  <si>
    <t>E6102C1</t>
  </si>
  <si>
    <t>91104B.PDF</t>
  </si>
  <si>
    <t>22239R1.PDF</t>
  </si>
  <si>
    <t>ACEL HELLOWING BEAM SELEVATION A</t>
  </si>
  <si>
    <t>64410.PDF</t>
  </si>
  <si>
    <t>DETAILS OF HORIZONTAL BRACE</t>
  </si>
  <si>
    <t>64410</t>
  </si>
  <si>
    <t>26409.PDF</t>
  </si>
  <si>
    <t>85445.pdf</t>
  </si>
  <si>
    <t>26415.PDF</t>
  </si>
  <si>
    <t>30</t>
  </si>
  <si>
    <t>BUZZI UNION - RIVER FLOOD PROJECT</t>
  </si>
  <si>
    <t>26415D1</t>
  </si>
  <si>
    <t>23201r1.PDF</t>
  </si>
  <si>
    <t>05/20/17</t>
  </si>
  <si>
    <t>FABRICATION OF STEEL STRUCTURES</t>
  </si>
  <si>
    <t>24346R1.PDF</t>
  </si>
  <si>
    <t>05/22/07</t>
  </si>
  <si>
    <t>Qualico</t>
  </si>
  <si>
    <t>65209.PDF</t>
  </si>
  <si>
    <t>17218R2.PDF</t>
  </si>
  <si>
    <t>1-W16x37x5-01</t>
  </si>
  <si>
    <t>92604.PDF</t>
  </si>
  <si>
    <t>84911r0.PDF</t>
  </si>
  <si>
    <t>84911HR1</t>
  </si>
  <si>
    <t>93926r1.PDF</t>
  </si>
  <si>
    <t>19314.PDF</t>
  </si>
  <si>
    <t>61956r0.PDF</t>
  </si>
  <si>
    <t>05/20/07</t>
  </si>
  <si>
    <t>6195HR01</t>
  </si>
  <si>
    <t>95904Ar1.PDF</t>
  </si>
  <si>
    <t>06/03/07</t>
  </si>
  <si>
    <t>1-STAIR ASSEMBLY-Marked 5904S1</t>
  </si>
  <si>
    <t>5904S1</t>
  </si>
  <si>
    <t>91902.PDF</t>
  </si>
  <si>
    <t>08/12/07</t>
  </si>
  <si>
    <t>Handrail System</t>
  </si>
  <si>
    <t>68901C.PDF</t>
  </si>
  <si>
    <t>08/16/07</t>
  </si>
  <si>
    <t>SECTION STAIR</t>
  </si>
  <si>
    <t>24303.PDF</t>
  </si>
  <si>
    <t>108411r1.PDF</t>
  </si>
  <si>
    <t>27908C.PDF</t>
  </si>
  <si>
    <t>03/20/07</t>
  </si>
  <si>
    <t>PREHEAT HER TOIWER</t>
  </si>
  <si>
    <t>22411r1.pdf</t>
  </si>
  <si>
    <t>4-10-07</t>
  </si>
  <si>
    <t>HBA BRACE - RIVER 7000 PRODUCT</t>
  </si>
  <si>
    <t>22411</t>
  </si>
  <si>
    <t>HUMBOLDT METAL, INC.</t>
  </si>
  <si>
    <t>27925.PDF</t>
  </si>
  <si>
    <t>12/19/07</t>
  </si>
  <si>
    <t>498</t>
  </si>
  <si>
    <t>65911.PDF</t>
  </si>
  <si>
    <t>08/11/11</t>
  </si>
  <si>
    <t>ONE HANDRAIL 639111HR</t>
  </si>
  <si>
    <t>639111HR</t>
  </si>
  <si>
    <t>28303.PDF</t>
  </si>
  <si>
    <t>28303</t>
  </si>
  <si>
    <t>11201.PDF</t>
  </si>
  <si>
    <t>B.F.</t>
  </si>
  <si>
    <t>05/21/12</t>
  </si>
  <si>
    <t>BEAM TO COLUMN</t>
  </si>
  <si>
    <t>11201B</t>
  </si>
  <si>
    <t>19210.PDF</t>
  </si>
  <si>
    <t>152/1081</t>
  </si>
  <si>
    <t>16205r1.PDF</t>
  </si>
  <si>
    <t>91404.PDF</t>
  </si>
  <si>
    <t>CLUNKER TRANSFER &amp; STORAGE</t>
  </si>
  <si>
    <t>17416.PDF</t>
  </si>
  <si>
    <t>ONE VERTICAL BRACE 1741601</t>
  </si>
  <si>
    <t>1741601</t>
  </si>
  <si>
    <t>12427R2.PDF</t>
  </si>
  <si>
    <t>12/02/03</t>
  </si>
  <si>
    <t>ONE HORIZONTAL BRACE 1240701</t>
  </si>
  <si>
    <t>1240701</t>
  </si>
  <si>
    <t>61935r0.PDF</t>
  </si>
  <si>
    <t>STEEL LUG INSERT PROJECT FINISH MILL / BAGHOUSE</t>
  </si>
  <si>
    <t>83914.PDF</t>
  </si>
  <si>
    <t>09/28/27</t>
  </si>
  <si>
    <t>HANDRAIL - MAKING STAIRS EASTER</t>
  </si>
  <si>
    <t>27928.PDF</t>
  </si>
  <si>
    <t>64306.PDF</t>
  </si>
  <si>
    <t>07/23/87</t>
  </si>
  <si>
    <t>DETAILS OF BEAM 64306</t>
  </si>
  <si>
    <t>64306</t>
  </si>
  <si>
    <t>88216.PDF</t>
  </si>
  <si>
    <t>05/13/17</t>
  </si>
  <si>
    <t>MANHOLE</t>
  </si>
  <si>
    <t>M02-1SB01/02</t>
  </si>
  <si>
    <t>G56 A.pdf</t>
  </si>
  <si>
    <t>05/27/05</t>
  </si>
  <si>
    <t>GRATING TYPE IV 19-4-03 PLAN 1 1/4" 1/16"</t>
  </si>
  <si>
    <t>30426.pdf</t>
  </si>
  <si>
    <t>22204r1.PDF</t>
  </si>
  <si>
    <t>S-7</t>
  </si>
  <si>
    <t>67890</t>
  </si>
  <si>
    <t>24346.PDF</t>
  </si>
  <si>
    <t>24346B1</t>
  </si>
  <si>
    <t>24105.PDF</t>
  </si>
  <si>
    <t>BUZZI UNUNION RIVER - 7000 PROJECT</t>
  </si>
  <si>
    <t>24105C1</t>
  </si>
  <si>
    <t>26367.PDF</t>
  </si>
  <si>
    <t>08/29/24</t>
  </si>
  <si>
    <t>WELDING AND ASSEMBLY DRAWING FOR BIN B-13 CUST. CUSTOMER: ALL OTHER BIN B-14</t>
  </si>
  <si>
    <t>B-13</t>
  </si>
  <si>
    <t>65348r1.pdf</t>
  </si>
  <si>
    <t>DETAILS OF BEAM 65348</t>
  </si>
  <si>
    <t>65348</t>
  </si>
  <si>
    <t>30403.pdf</t>
  </si>
  <si>
    <t>304G3D1</t>
  </si>
  <si>
    <t>11409.PDF</t>
  </si>
  <si>
    <t>VERTICAL BRACING RYYEN 7000 PROJECTS</t>
  </si>
  <si>
    <t>EL1100</t>
  </si>
  <si>
    <t>64409.PDF</t>
  </si>
  <si>
    <t>64409</t>
  </si>
  <si>
    <t>44920r0.PDF</t>
  </si>
  <si>
    <t>71401.PDF</t>
  </si>
  <si>
    <t>71401</t>
  </si>
  <si>
    <t>SQUARE CALICO STEEL CO. INC.</t>
  </si>
  <si>
    <t>98205.PDF</t>
  </si>
  <si>
    <t>65971.PDF</t>
  </si>
  <si>
    <t>ONE STAIR 65971S1</t>
  </si>
  <si>
    <t>65971S1</t>
  </si>
  <si>
    <t>46909r0.PDF</t>
  </si>
  <si>
    <t>06/29/09</t>
  </si>
  <si>
    <t>46909HR1</t>
  </si>
  <si>
    <t>37304.PDF</t>
  </si>
  <si>
    <t>11/08/08</t>
  </si>
  <si>
    <t>37304B</t>
  </si>
  <si>
    <t>DUALCO STEEL CO., INC.</t>
  </si>
  <si>
    <t>85447.pdf</t>
  </si>
  <si>
    <t>85447</t>
  </si>
  <si>
    <t>44902Ar0.pdf</t>
  </si>
  <si>
    <t>440251</t>
  </si>
  <si>
    <t>22369R1.PDF</t>
  </si>
  <si>
    <t>04/22/07</t>
  </si>
  <si>
    <t>FABRICATION</t>
  </si>
  <si>
    <t>223081</t>
  </si>
  <si>
    <t>84906r0.PDF</t>
  </si>
  <si>
    <t>84906HR1</t>
  </si>
  <si>
    <t>28428.PDF</t>
  </si>
  <si>
    <t>ONE VERTICAL BRACE FLOOR RING</t>
  </si>
  <si>
    <t>2B42B01</t>
  </si>
  <si>
    <t>65211r1.PDF</t>
  </si>
  <si>
    <t>08/11/21</t>
  </si>
  <si>
    <t>Drawing of architectural layout with a Bill of Materials table</t>
  </si>
  <si>
    <t>QualiTed Steel Co., Inc.</t>
  </si>
  <si>
    <t>20314.PDF</t>
  </si>
  <si>
    <t>08/21/14</t>
  </si>
  <si>
    <t>2031483</t>
  </si>
  <si>
    <t>81924.PDF</t>
  </si>
  <si>
    <t>B-S24HRB1</t>
  </si>
  <si>
    <t>66926.PDF</t>
  </si>
  <si>
    <t>09/01/07</t>
  </si>
  <si>
    <t>66259681</t>
  </si>
  <si>
    <t>61929r0.PDF</t>
  </si>
  <si>
    <t>61029R1</t>
  </si>
  <si>
    <t>16110R1.PDF</t>
  </si>
  <si>
    <t>16/09</t>
  </si>
  <si>
    <t>01/08/07</t>
  </si>
  <si>
    <t>BUZZI UNUNION RIVER 7000 PROJECT HUMBOLDT MILL NORTH</t>
  </si>
  <si>
    <t>11610C</t>
  </si>
  <si>
    <t>28455.PDF</t>
  </si>
  <si>
    <t>85442.pdf</t>
  </si>
  <si>
    <t>1-V-BRACE-Marked 85442D1</t>
  </si>
  <si>
    <t>85442D1</t>
  </si>
  <si>
    <t>28301.PDF</t>
  </si>
  <si>
    <t>28454.PDF</t>
  </si>
  <si>
    <t>ONE VERTICAL BRACE 28454DB1</t>
  </si>
  <si>
    <t>28454DB1</t>
  </si>
  <si>
    <t>83405r1.PDF</t>
  </si>
  <si>
    <t>08/17/07</t>
  </si>
  <si>
    <t>8340501</t>
  </si>
  <si>
    <t>63205.PDF</t>
  </si>
  <si>
    <t>02/11/97</t>
  </si>
  <si>
    <t>DIE BEAM 63205B1, 63205B2, 63205B3</t>
  </si>
  <si>
    <t>63205</t>
  </si>
  <si>
    <t>QUALICO TOOL CO, INC.</t>
  </si>
  <si>
    <t>66901Ar1.pdf</t>
  </si>
  <si>
    <t>24326.PDF</t>
  </si>
  <si>
    <t>28441.PDF</t>
  </si>
  <si>
    <t>ONE VERTICAL BRACE 284101</t>
  </si>
  <si>
    <t>284101</t>
  </si>
  <si>
    <t>22363r2.PDF</t>
  </si>
  <si>
    <t>BTC-P4-GF-</t>
  </si>
  <si>
    <t>19212.PDF</t>
  </si>
  <si>
    <t>108904r1.PDF</t>
  </si>
  <si>
    <t>05/09/08</t>
  </si>
  <si>
    <t>A92 U.N.</t>
  </si>
  <si>
    <t>28453.PDF</t>
  </si>
  <si>
    <t>05/21/13</t>
  </si>
  <si>
    <t>ONE VERTICAL BRACE 254301</t>
  </si>
  <si>
    <t>254301</t>
  </si>
  <si>
    <t>26478.PDF</t>
  </si>
  <si>
    <t>2X478X1</t>
  </si>
  <si>
    <t>14901.PDF</t>
  </si>
  <si>
    <t>01/15/07</t>
  </si>
  <si>
    <t>MISCELLANEOUS - STAIR ASSEMBLY</t>
  </si>
  <si>
    <t>L108S</t>
  </si>
  <si>
    <t>65330.PDF</t>
  </si>
  <si>
    <t>06/12/23</t>
  </si>
  <si>
    <t>DETAILS OF CURVED STEEL BEAMS FOR AIR HANDLING UNIT PROJECT, PILLOT/MAIN SHOWROOM</t>
  </si>
  <si>
    <t>GUILAUCO STEEL CO. INC.</t>
  </si>
  <si>
    <t>26452.PDF</t>
  </si>
  <si>
    <t>05/21/22</t>
  </si>
  <si>
    <t>ONE VERTICAL BRACE 2N520201</t>
  </si>
  <si>
    <t>2N520201</t>
  </si>
  <si>
    <t>64420.PDF</t>
  </si>
  <si>
    <t>08/21/97</t>
  </si>
  <si>
    <t>DETAILS OF HORIZONTAL BRACKET</t>
  </si>
  <si>
    <t>44420D1</t>
  </si>
  <si>
    <t>28458.PDF</t>
  </si>
  <si>
    <t>0945001</t>
  </si>
  <si>
    <t>72932.PDF</t>
  </si>
  <si>
    <t>BLAST GUZZLER RAINBOW PROJECT ASL SYSTEM BAR HANDRAIL</t>
  </si>
  <si>
    <t>72932</t>
  </si>
  <si>
    <t>28439.PDF</t>
  </si>
  <si>
    <t>02/09/23</t>
  </si>
  <si>
    <t>ONE VERTICAL BRACE 2X4290</t>
  </si>
  <si>
    <t>G85 REV-0.pdf</t>
  </si>
  <si>
    <t>12/17/08</t>
  </si>
  <si>
    <t>GRATING PLAN AND BILL OF MATERIAL RAW GRATING AND BLINDING</t>
  </si>
  <si>
    <t>A Unit of Quality, A Division of the Lokman Group</t>
  </si>
  <si>
    <t>24109.PDF</t>
  </si>
  <si>
    <t>24230R1.PDF</t>
  </si>
  <si>
    <t>03/28/05</t>
  </si>
  <si>
    <t>2423081</t>
  </si>
  <si>
    <t>14203.PDF</t>
  </si>
  <si>
    <t>11/14/22</t>
  </si>
  <si>
    <t>BEAMS TO COLUMN</t>
  </si>
  <si>
    <t>C-21-1420</t>
  </si>
  <si>
    <t>28111.PDF</t>
  </si>
  <si>
    <t>2811C1 BUZZI UNUNION RIVER - RIVER 7000 PROJECT HUMBOLDT REFINERY, MI.</t>
  </si>
  <si>
    <t>2811C1</t>
  </si>
  <si>
    <t>UAQUALCO STEEL CO. INC.</t>
  </si>
  <si>
    <t>Burner Bldg 2.pdf</t>
  </si>
  <si>
    <t>08/09/18</t>
  </si>
  <si>
    <t>ROOF PLAN | ROOF DECK LAYOUT</t>
  </si>
  <si>
    <t>CARRON AND COMPANY</t>
  </si>
  <si>
    <t>28423.PDF</t>
  </si>
  <si>
    <t>28423D1</t>
  </si>
  <si>
    <t>93922r0.PDF</t>
  </si>
  <si>
    <t>05/15/17</t>
  </si>
  <si>
    <t>A002</t>
  </si>
  <si>
    <t>94909.pdf</t>
  </si>
  <si>
    <t>ONE - STAR ASSEMBLY</t>
  </si>
  <si>
    <t>94909S1</t>
  </si>
  <si>
    <t>28450.PDF</t>
  </si>
  <si>
    <t>05/12/07</t>
  </si>
  <si>
    <t>ONE VERTICAL BRACE 2840001</t>
  </si>
  <si>
    <t>2840001</t>
  </si>
  <si>
    <t>H.C.I. STEEL</t>
  </si>
  <si>
    <t>44910r0.PDF</t>
  </si>
  <si>
    <t>04/12/07</t>
  </si>
  <si>
    <t>M. G. L. SPROVAL</t>
  </si>
  <si>
    <t>91402.PDF</t>
  </si>
  <si>
    <t>P795</t>
  </si>
  <si>
    <t>92606.PDF</t>
  </si>
  <si>
    <t>920650B1</t>
  </si>
  <si>
    <t>QUALICCO QUALITY STEEL CO. INC.</t>
  </si>
  <si>
    <t>28457.PDF</t>
  </si>
  <si>
    <t>06/09/07</t>
  </si>
  <si>
    <t>28457D1</t>
  </si>
  <si>
    <t>65921.PDF</t>
  </si>
  <si>
    <t>05/31/07</t>
  </si>
  <si>
    <t>DETAIL OF HANDRAILS</t>
  </si>
  <si>
    <t>E5004</t>
  </si>
  <si>
    <t>19213R1.PDF</t>
  </si>
  <si>
    <t>CRT</t>
  </si>
  <si>
    <t>CWP BEAM 10021301</t>
  </si>
  <si>
    <t>10021301</t>
  </si>
  <si>
    <t>22348.PDF</t>
  </si>
  <si>
    <t>22348B1</t>
  </si>
  <si>
    <t>91601.PDF</t>
  </si>
  <si>
    <t>01/01/07</t>
  </si>
  <si>
    <t>GIRT BEAM</t>
  </si>
  <si>
    <t>20443.PDF</t>
  </si>
  <si>
    <t>02/10/07</t>
  </si>
  <si>
    <t>20443B1</t>
  </si>
  <si>
    <t>91305.PDF</t>
  </si>
  <si>
    <t>FLOOR BEAMS</t>
  </si>
  <si>
    <t>91305B1</t>
  </si>
  <si>
    <t>26210.PDF</t>
  </si>
  <si>
    <t>05/01/06</t>
  </si>
  <si>
    <t>26210B1</t>
  </si>
  <si>
    <t>26416.PDF</t>
  </si>
  <si>
    <t>26A</t>
  </si>
  <si>
    <t>WYE &amp; WYE STIFFENER</t>
  </si>
  <si>
    <t>00-29</t>
  </si>
  <si>
    <t>26320.PDF</t>
  </si>
  <si>
    <t>26450.PDF</t>
  </si>
  <si>
    <t>05/00/07</t>
  </si>
  <si>
    <t>QUALITY CO STEEL CO. INC.</t>
  </si>
  <si>
    <t>20302.PDF</t>
  </si>
  <si>
    <t>12408.PDF</t>
  </si>
  <si>
    <t>24113.PDF</t>
  </si>
  <si>
    <t>03/23/19</t>
  </si>
  <si>
    <t>28438.PDF</t>
  </si>
  <si>
    <t>ONE VERTICAL BRACE 2R49B18D</t>
  </si>
  <si>
    <t>2R49B18D</t>
  </si>
  <si>
    <t>72936.PDF</t>
  </si>
  <si>
    <t>72936</t>
  </si>
  <si>
    <t>65352.PDF</t>
  </si>
  <si>
    <t>SHIPS SEQUENCES BILL OF MATERIAL</t>
  </si>
  <si>
    <t>93925r0.PDF</t>
  </si>
  <si>
    <t>07/10/17</t>
  </si>
  <si>
    <t>80000000</t>
  </si>
  <si>
    <t>QUALICO SEAL CO. INC.</t>
  </si>
  <si>
    <t>98103.PDF</t>
  </si>
  <si>
    <t>801231</t>
  </si>
  <si>
    <t>46919r0.PDF</t>
  </si>
  <si>
    <t>72917.PDF</t>
  </si>
  <si>
    <t>06/01/21</t>
  </si>
  <si>
    <t>72917</t>
  </si>
  <si>
    <t>28432.PDF</t>
  </si>
  <si>
    <t>203201</t>
  </si>
  <si>
    <t>SMI STEEL CO., INC.</t>
  </si>
  <si>
    <t>85951.PDF</t>
  </si>
  <si>
    <t>8505115B1</t>
  </si>
  <si>
    <t>26359.PDF</t>
  </si>
  <si>
    <t>35304R1.PDF</t>
  </si>
  <si>
    <t>LEG SHOES</t>
  </si>
  <si>
    <t>30212R1.PDF</t>
  </si>
  <si>
    <t>1.2</t>
  </si>
  <si>
    <t>11/28/08</t>
  </si>
  <si>
    <t>30212</t>
  </si>
  <si>
    <t>12304.PDF</t>
  </si>
  <si>
    <t>12/06/08</t>
  </si>
  <si>
    <t>BEAM 12304B - RIVER 7000 PROJECT</t>
  </si>
  <si>
    <t>12304B</t>
  </si>
  <si>
    <t>93932r0.PDF</t>
  </si>
  <si>
    <t>S44-602000</t>
  </si>
  <si>
    <t>92304.PDF</t>
  </si>
  <si>
    <t>65355.PDF</t>
  </si>
  <si>
    <t>DETAILS OF BEAM 65</t>
  </si>
  <si>
    <t>6535581</t>
  </si>
  <si>
    <t>18901A.PDF</t>
  </si>
  <si>
    <t>01/29/07</t>
  </si>
  <si>
    <t>MODULARSTAIR - STAIR ASSEMBLY</t>
  </si>
  <si>
    <t>MN 18901 S1</t>
  </si>
  <si>
    <t>66905B.PDF</t>
  </si>
  <si>
    <t>08/29/07</t>
  </si>
  <si>
    <t>150 FOOT PIER, FLUSH MAIN CHANNELS</t>
  </si>
  <si>
    <t>PEI 06-29</t>
  </si>
  <si>
    <t>85432.pdf</t>
  </si>
  <si>
    <t>26339.PDF</t>
  </si>
  <si>
    <t>HUMBLEY METAL WORKS, INC.</t>
  </si>
  <si>
    <t>92607.PDF</t>
  </si>
  <si>
    <t>35303.PDF</t>
  </si>
  <si>
    <t>35303</t>
  </si>
  <si>
    <t>65428.PDF</t>
  </si>
  <si>
    <t>65428</t>
  </si>
  <si>
    <t>26371.PDF</t>
  </si>
  <si>
    <t>05/01/02</t>
  </si>
  <si>
    <t>26371B1</t>
  </si>
  <si>
    <t>93929r0.PDF</t>
  </si>
  <si>
    <t>9292HR1</t>
  </si>
  <si>
    <t>26251.PDF</t>
  </si>
  <si>
    <t>BILL OF MATERIAL No. 699-10 1/4</t>
  </si>
  <si>
    <t>699-10 1/4</t>
  </si>
  <si>
    <t>12406.PDF</t>
  </si>
  <si>
    <t>02/21/58</t>
  </si>
  <si>
    <t>12406D1</t>
  </si>
  <si>
    <t>61932r0.PDF</t>
  </si>
  <si>
    <t>24312.PDF</t>
  </si>
  <si>
    <t>46922r0.PDF</t>
  </si>
  <si>
    <t>07/01/07</t>
  </si>
  <si>
    <t>4692HR1</t>
  </si>
  <si>
    <t>65908.PDF</t>
  </si>
  <si>
    <t>06/12/11</t>
  </si>
  <si>
    <t>ONE HANDRAIL 65908HE1</t>
  </si>
  <si>
    <t>65908HE1</t>
  </si>
  <si>
    <t>66313.PDF</t>
  </si>
  <si>
    <t>62313</t>
  </si>
  <si>
    <t>18101.PDF</t>
  </si>
  <si>
    <t>BUZZI UNIKEM - RIVER 7000 PROJECT HUMBOLDT MILL</t>
  </si>
  <si>
    <t>T-2002</t>
  </si>
  <si>
    <t>28055CH-G107 REV-0.pdf</t>
  </si>
  <si>
    <t>GRATING PLAN @ T.O.G. ELEV. 434'-11/4"</t>
  </si>
  <si>
    <t>GUL FII</t>
  </si>
  <si>
    <t>63419.PDF</t>
  </si>
  <si>
    <t>09/12/07</t>
  </si>
  <si>
    <t>85411.pdf</t>
  </si>
  <si>
    <t>00-8411 0</t>
  </si>
  <si>
    <t>62414.PDF</t>
  </si>
  <si>
    <t>SHELBY STEEL, LLC</t>
  </si>
  <si>
    <t>22358.PDF</t>
  </si>
  <si>
    <t>72938.PDF</t>
  </si>
  <si>
    <t>SHOP SEQUENCES</t>
  </si>
  <si>
    <t>35304.PDF</t>
  </si>
  <si>
    <t>95902A.PDF</t>
  </si>
  <si>
    <t>09/05/20</t>
  </si>
  <si>
    <t>1-STAR ASSEMBLY</t>
  </si>
  <si>
    <t>990020</t>
  </si>
  <si>
    <t>22440.pdf</t>
  </si>
  <si>
    <t>28304.PDF</t>
  </si>
  <si>
    <t>05-21</t>
  </si>
  <si>
    <t>05/11/07</t>
  </si>
  <si>
    <t>2830481</t>
  </si>
  <si>
    <t>86410.pdf</t>
  </si>
  <si>
    <t>SAPPORO BUILDING &amp; ELEVATORS</t>
  </si>
  <si>
    <t>S8413</t>
  </si>
  <si>
    <t>28317.PDF</t>
  </si>
  <si>
    <t>08/21/17</t>
  </si>
  <si>
    <t>2831780</t>
  </si>
  <si>
    <t>16224r1.PDF</t>
  </si>
  <si>
    <t>02/02/07</t>
  </si>
  <si>
    <t>35302.PDF</t>
  </si>
  <si>
    <t>ONE BEAM 35302B1</t>
  </si>
  <si>
    <t>35302B1</t>
  </si>
  <si>
    <t>72935.PDF</t>
  </si>
  <si>
    <t>72935</t>
  </si>
  <si>
    <t>65102.PDF</t>
  </si>
  <si>
    <t>08/27/07</t>
  </si>
  <si>
    <t>37302.PDF</t>
  </si>
  <si>
    <t>64405.PDF</t>
  </si>
  <si>
    <t>64405P1</t>
  </si>
  <si>
    <t>12202.PDF</t>
  </si>
  <si>
    <t>S-10</t>
  </si>
  <si>
    <t>12/06/06</t>
  </si>
  <si>
    <t>STEEL PIPE RACK</t>
  </si>
  <si>
    <t>12202B</t>
  </si>
  <si>
    <t>24310.PDF</t>
  </si>
  <si>
    <t>24310B1</t>
  </si>
  <si>
    <t>16312.PDF</t>
  </si>
  <si>
    <t>82406.pdf</t>
  </si>
  <si>
    <t>BOM-0000001</t>
  </si>
  <si>
    <t>Geotechnical</t>
  </si>
  <si>
    <t>Quarry</t>
  </si>
  <si>
    <t>AB- As-Built</t>
  </si>
  <si>
    <t>N/A</t>
  </si>
  <si>
    <t>Alamo Cement</t>
  </si>
  <si>
    <t>San Antonio, TX</t>
  </si>
  <si>
    <t>-TBD-</t>
  </si>
  <si>
    <t>Conceptual Docs</t>
  </si>
  <si>
    <t>APR- Approved</t>
  </si>
  <si>
    <t>E</t>
  </si>
  <si>
    <t>Amarillo Terminal</t>
  </si>
  <si>
    <t>Amarillo, TX</t>
  </si>
  <si>
    <t>Correspondences</t>
  </si>
  <si>
    <t>BID- For Bid Use only</t>
  </si>
  <si>
    <t>Bonner Springs Terminal</t>
  </si>
  <si>
    <t>Bonner Springs, KS</t>
  </si>
  <si>
    <t>Limestone Quarry</t>
  </si>
  <si>
    <t>CRT- Certified</t>
  </si>
  <si>
    <t>Q</t>
  </si>
  <si>
    <t>Brandon Terminal</t>
  </si>
  <si>
    <t>Brandon, MS</t>
  </si>
  <si>
    <t>Crushing</t>
  </si>
  <si>
    <t>FYU- For Your Use</t>
  </si>
  <si>
    <t>L</t>
  </si>
  <si>
    <t>Burnside Terminal</t>
  </si>
  <si>
    <t>Darrow, LA</t>
  </si>
  <si>
    <t>Crushing #1</t>
  </si>
  <si>
    <t>IFA- Issued For Approval</t>
  </si>
  <si>
    <t>H</t>
  </si>
  <si>
    <t>X</t>
  </si>
  <si>
    <t>Cape Girardeau Cement</t>
  </si>
  <si>
    <t>Cape Girardeau, MO</t>
  </si>
  <si>
    <t>Crushing #2</t>
  </si>
  <si>
    <t>IFC- Issued For Construction</t>
  </si>
  <si>
    <t>Y</t>
  </si>
  <si>
    <t>Cincinnati Terminal</t>
  </si>
  <si>
    <t>Cincinnati, OH</t>
  </si>
  <si>
    <t>Crushing #3</t>
  </si>
  <si>
    <t>IFR- Issued For Review and Comment</t>
  </si>
  <si>
    <t>College Park Terminal</t>
  </si>
  <si>
    <t>College Park, GA</t>
  </si>
  <si>
    <t>Additives Crushing</t>
  </si>
  <si>
    <t>Reports</t>
  </si>
  <si>
    <t>PRE- Preliminary</t>
  </si>
  <si>
    <t>Dallas Terminal</t>
  </si>
  <si>
    <t>Dallas, TX</t>
  </si>
  <si>
    <t>Raw Materials Unloading</t>
  </si>
  <si>
    <t>REC- For Records</t>
  </si>
  <si>
    <t>T</t>
  </si>
  <si>
    <t>J</t>
  </si>
  <si>
    <t>Z</t>
  </si>
  <si>
    <t>Dawsonville Terminal</t>
  </si>
  <si>
    <t>Dawsonville, GA</t>
  </si>
  <si>
    <t>Barge Unloading</t>
  </si>
  <si>
    <t>Studies</t>
  </si>
  <si>
    <t>RFE- Released for Engr</t>
  </si>
  <si>
    <t>K</t>
  </si>
  <si>
    <t>Elkhart Terminal</t>
  </si>
  <si>
    <t>Elkhart, IN</t>
  </si>
  <si>
    <t>Rail Unloading</t>
  </si>
  <si>
    <t>RWC- Returned with Comments</t>
  </si>
  <si>
    <t>Elmira Terminal</t>
  </si>
  <si>
    <t>Elmira, MI</t>
  </si>
  <si>
    <t>Additives Unloading</t>
  </si>
  <si>
    <t>Transmittals</t>
  </si>
  <si>
    <t>Fort Wayne Terminal</t>
  </si>
  <si>
    <t>Fort Wayne, IN</t>
  </si>
  <si>
    <t>Barge Loading</t>
  </si>
  <si>
    <t>O</t>
  </si>
  <si>
    <t>Gainesville Terminal</t>
  </si>
  <si>
    <t>Gainesville, TX</t>
  </si>
  <si>
    <t>Raw Materials Pre-Blending, Handling &amp; Storage</t>
  </si>
  <si>
    <t>Grandville Terminal</t>
  </si>
  <si>
    <t>Grandville, MI</t>
  </si>
  <si>
    <t>Pre-Blending</t>
  </si>
  <si>
    <t>Greencastle Cement</t>
  </si>
  <si>
    <t>Greencastle, IN</t>
  </si>
  <si>
    <t>Raw Material Proportioning and Mill Feed</t>
  </si>
  <si>
    <t>Hercules Cement</t>
  </si>
  <si>
    <t>Stockertown, PA</t>
  </si>
  <si>
    <t>Raw Grinding</t>
  </si>
  <si>
    <t>Independence Terminal</t>
  </si>
  <si>
    <t>Independence, KS</t>
  </si>
  <si>
    <t>Raw Mill System #1</t>
  </si>
  <si>
    <t>Indianapolis Terminal</t>
  </si>
  <si>
    <t>Indianapolis, IN</t>
  </si>
  <si>
    <t>Raw Mill System #2</t>
  </si>
  <si>
    <t>Jeffersonville Terminal</t>
  </si>
  <si>
    <t>Jefferson, IN</t>
  </si>
  <si>
    <t>Raw Mill System #3</t>
  </si>
  <si>
    <t>Joliet Terminal</t>
  </si>
  <si>
    <t>Joliet, IL</t>
  </si>
  <si>
    <t>Raw Mill System #4</t>
  </si>
  <si>
    <t>Knoxville Terminal</t>
  </si>
  <si>
    <t>Knoxville, TN</t>
  </si>
  <si>
    <t>Blending / Kiln Feed</t>
  </si>
  <si>
    <t>Little Rock Terminal</t>
  </si>
  <si>
    <t>Little Rock, AR</t>
  </si>
  <si>
    <t>Clinker Burning</t>
  </si>
  <si>
    <t>Maryneal, TX</t>
  </si>
  <si>
    <t>Kiln System #1</t>
  </si>
  <si>
    <t>Memphis LSI Terminal</t>
  </si>
  <si>
    <t>Memphis, TN</t>
  </si>
  <si>
    <t>Kiln System #2</t>
  </si>
  <si>
    <t>Memphis RC Terminal</t>
  </si>
  <si>
    <t>Kiln System #3</t>
  </si>
  <si>
    <t>Milwaukee, WI</t>
  </si>
  <si>
    <t>Kiln System #4</t>
  </si>
  <si>
    <t>Mina Terminal</t>
  </si>
  <si>
    <t>Atlanta, GA</t>
  </si>
  <si>
    <t>Kiln Dedusting</t>
  </si>
  <si>
    <t>Nashville (LSI) Terminal</t>
  </si>
  <si>
    <t>Nashville, TN</t>
  </si>
  <si>
    <t>Clinker Conveying &amp; Storage</t>
  </si>
  <si>
    <t>Nashville (RC) Terminal</t>
  </si>
  <si>
    <t>Coal/Coke Mill System #1</t>
  </si>
  <si>
    <t>Natchez Terminal</t>
  </si>
  <si>
    <t>Natchez, MS</t>
  </si>
  <si>
    <t>Coal/Coke Mill System #2</t>
  </si>
  <si>
    <t>New Orleans Terminal</t>
  </si>
  <si>
    <t>New Orleans, LA</t>
  </si>
  <si>
    <t>Coal/Coke Mill System #3</t>
  </si>
  <si>
    <t>Oglesby Cement</t>
  </si>
  <si>
    <t>Oglesby, IL</t>
  </si>
  <si>
    <t>Coal/Coke Mill System #4</t>
  </si>
  <si>
    <t>Oklahoma City Terminal</t>
  </si>
  <si>
    <t>Del City, OK</t>
  </si>
  <si>
    <t>Coal/Coke Unloading, Conveying &amp; Storage</t>
  </si>
  <si>
    <t>Orange Terminal</t>
  </si>
  <si>
    <t>Orange, TX</t>
  </si>
  <si>
    <t>Waste Fuels</t>
  </si>
  <si>
    <t>Paducah Terminal</t>
  </si>
  <si>
    <t>Paducah, KY</t>
  </si>
  <si>
    <t>Waste Fuel - Liquids</t>
  </si>
  <si>
    <t>Pensacola Terminal</t>
  </si>
  <si>
    <t>Milton, FL</t>
  </si>
  <si>
    <t>Waste Fuel  - Solids</t>
  </si>
  <si>
    <t>Pryor Cement</t>
  </si>
  <si>
    <t>Pryor, OK</t>
  </si>
  <si>
    <t>Waste Fuel - Rail</t>
  </si>
  <si>
    <t>Festus, MO</t>
  </si>
  <si>
    <t>Tire System</t>
  </si>
  <si>
    <t>Signal Mountain Cement</t>
  </si>
  <si>
    <t>Chattanooga, TN</t>
  </si>
  <si>
    <t>Tire Unloading &amp; Conveying</t>
  </si>
  <si>
    <t>St Louis S Terminal</t>
  </si>
  <si>
    <t>St. Louis, MO</t>
  </si>
  <si>
    <t>Other Alternative Fuels (Plastics, SPL, etc)</t>
  </si>
  <si>
    <t>St. Louis N Terminal</t>
  </si>
  <si>
    <t>Plastics</t>
  </si>
  <si>
    <t>Temple Terminal</t>
  </si>
  <si>
    <t>Temple, TX</t>
  </si>
  <si>
    <t>SPL (Spent Potliner)</t>
  </si>
  <si>
    <t>Wichita Terminal</t>
  </si>
  <si>
    <t>Bel Aire, KS</t>
  </si>
  <si>
    <t>non-identified type to be assigned</t>
  </si>
  <si>
    <t>Oxygen Enrichment</t>
  </si>
  <si>
    <t>Non-Hazardous Solid Fuels</t>
  </si>
  <si>
    <t>Cement Grinding &amp; Additives Handling/Storage</t>
  </si>
  <si>
    <t>Finish Mill System #1</t>
  </si>
  <si>
    <t>Finish Mill System #2</t>
  </si>
  <si>
    <t>Finish Mill System #3</t>
  </si>
  <si>
    <t>Finish Mill System #4</t>
  </si>
  <si>
    <t>Finish Mill System #5</t>
  </si>
  <si>
    <t>Finish Mill System #6</t>
  </si>
  <si>
    <t>Finish Mill System #7</t>
  </si>
  <si>
    <t>Gypsum &amp; Additives Handling &amp; Blending</t>
  </si>
  <si>
    <t>Cement Grinding Feed System</t>
  </si>
  <si>
    <t>Finish Mill System #8</t>
  </si>
  <si>
    <t>Finish Mill System #9</t>
  </si>
  <si>
    <t>Cement Conveying &amp; Storage</t>
  </si>
  <si>
    <t>Bags Cement Shipping (Packing &amp; Palletizers)</t>
  </si>
  <si>
    <t>Packing Machines</t>
  </si>
  <si>
    <t>Palletizers</t>
  </si>
  <si>
    <t>Bulk Cement Shipping (Truck, Barge, Rail)</t>
  </si>
  <si>
    <t>Truck Shipping</t>
  </si>
  <si>
    <t>Rail Shipping</t>
  </si>
  <si>
    <t>Barge Shipping</t>
  </si>
  <si>
    <t>General Services - Not Specific to a Single Process Dept.</t>
  </si>
  <si>
    <t>Control Room &amp; Automation</t>
  </si>
  <si>
    <t>Overhead Crane</t>
  </si>
  <si>
    <t>Maintenance  - Undistributed</t>
  </si>
  <si>
    <t>Communication Systems - excludes Automation</t>
  </si>
  <si>
    <t>Power Distribution</t>
  </si>
  <si>
    <t>Heating &amp; Air Conditioning</t>
  </si>
  <si>
    <t>Plant Compressed Air</t>
  </si>
  <si>
    <t>Other Utility Systems</t>
  </si>
  <si>
    <t>Laboratory</t>
  </si>
  <si>
    <t>Buildings</t>
  </si>
  <si>
    <t>Plant Roads, Parking, etc.</t>
  </si>
  <si>
    <t>Power Generation (Turbines, Boilers)</t>
  </si>
  <si>
    <t>Turbines</t>
  </si>
  <si>
    <t>Boilers</t>
  </si>
  <si>
    <t>Solar</t>
  </si>
  <si>
    <t>Wind</t>
  </si>
  <si>
    <t>Dock Operations</t>
  </si>
  <si>
    <t>Dock Inbound System</t>
  </si>
  <si>
    <t>Terminals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</si>
</sst>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29"/>
  <sheetViews>
    <sheetView tabSelected="1" topLeftCell="A375" zoomScale="85" zoomScaleNormal="85" workbookViewId="0">
      <selection activeCell="E9" sqref="E9"/>
    </sheetView>
  </sheetViews>
  <sheetFormatPr defaultRowHeight="15" x14ac:dyDescent="0.25"/>
  <cols>
    <col min="1" max="1" width="76.28515625" customWidth="1"/>
    <col min="2" max="2" width="35.42578125" customWidth="1"/>
    <col min="3" max="3" width="6.85546875" customWidth="1"/>
    <col min="4" max="4" width="22.140625" customWidth="1"/>
    <col min="5" max="5" width="88.85546875" customWidth="1"/>
    <col min="6" max="6" width="20.42578125" customWidth="1"/>
    <col min="7" max="7" width="24.140625" customWidth="1"/>
    <col min="8" max="8" width="25.7109375" customWidth="1"/>
    <col min="9" max="9" width="21.42578125" customWidth="1"/>
    <col min="10" max="10" width="19.7109375" customWidth="1"/>
    <col min="11" max="11" width="36.28515625" customWidth="1"/>
    <col min="12" max="12" width="19.7109375" customWidth="1"/>
    <col min="13" max="13" width="48.42578125" customWidth="1"/>
    <col min="14" max="14" width="27.42578125" customWidth="1"/>
    <col min="15" max="15" width="26.85546875" customWidth="1"/>
  </cols>
  <sheetData>
    <row r="1" spans="1:15" ht="15.7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.75" customHeight="1" x14ac:dyDescent="0.25">
      <c r="A2" s="1" t="s">
        <v>15</v>
      </c>
      <c r="B2" s="1" t="s">
        <v>16</v>
      </c>
      <c r="C2" s="1" t="s">
        <v>16</v>
      </c>
      <c r="D2" s="2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4" t="s">
        <v>16</v>
      </c>
      <c r="L2" s="1" t="s">
        <v>16</v>
      </c>
      <c r="M2" s="1" t="s">
        <v>16</v>
      </c>
      <c r="N2" s="5" t="s">
        <v>16</v>
      </c>
      <c r="O2" s="6" t="str">
        <f>IFERROR(VLOOKUP(K2,'2. Buzzi Admin Only'!Q:R,2,0),"")</f>
        <v/>
      </c>
    </row>
    <row r="3" spans="1:15" ht="15.75" customHeight="1" x14ac:dyDescent="0.25">
      <c r="A3" s="1" t="s">
        <v>17</v>
      </c>
      <c r="B3" s="1" t="s">
        <v>16</v>
      </c>
      <c r="C3" s="1" t="s">
        <v>16</v>
      </c>
      <c r="D3" s="2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16</v>
      </c>
      <c r="J3" s="1" t="s">
        <v>16</v>
      </c>
      <c r="K3" s="4" t="s">
        <v>16</v>
      </c>
      <c r="L3" s="1" t="s">
        <v>23</v>
      </c>
      <c r="M3" s="1" t="s">
        <v>24</v>
      </c>
      <c r="N3" s="5" t="s">
        <v>16</v>
      </c>
      <c r="O3" s="6" t="str">
        <f>IFERROR(VLOOKUP(K3,'2. Buzzi Admin Only'!Q:R,2,0),"")</f>
        <v/>
      </c>
    </row>
    <row r="4" spans="1:15" ht="15.75" customHeight="1" x14ac:dyDescent="0.25">
      <c r="A4" s="1" t="s">
        <v>25</v>
      </c>
      <c r="B4" s="1" t="s">
        <v>16</v>
      </c>
      <c r="C4" s="1"/>
      <c r="D4" s="2" t="s">
        <v>26</v>
      </c>
      <c r="E4" s="1" t="s">
        <v>27</v>
      </c>
      <c r="F4" s="1" t="s">
        <v>20</v>
      </c>
      <c r="G4" s="1" t="s">
        <v>28</v>
      </c>
      <c r="H4" s="1" t="s">
        <v>29</v>
      </c>
      <c r="I4" s="1" t="s">
        <v>16</v>
      </c>
      <c r="J4" s="1" t="s">
        <v>16</v>
      </c>
      <c r="K4" s="4" t="s">
        <v>16</v>
      </c>
      <c r="L4" s="1" t="s">
        <v>23</v>
      </c>
      <c r="M4" s="1" t="s">
        <v>30</v>
      </c>
      <c r="N4" s="5" t="s">
        <v>16</v>
      </c>
      <c r="O4" s="6" t="str">
        <f>IFERROR(VLOOKUP(K4,'2. Buzzi Admin Only'!Q:R,2,0),"")</f>
        <v/>
      </c>
    </row>
    <row r="5" spans="1:15" ht="15.75" customHeight="1" x14ac:dyDescent="0.25">
      <c r="A5" s="1" t="s">
        <v>31</v>
      </c>
      <c r="B5" s="1" t="s">
        <v>16</v>
      </c>
      <c r="C5" s="1" t="s">
        <v>16</v>
      </c>
      <c r="D5" s="2" t="s">
        <v>32</v>
      </c>
      <c r="E5" s="1" t="s">
        <v>33</v>
      </c>
      <c r="F5" s="1" t="s">
        <v>20</v>
      </c>
      <c r="G5" s="1" t="s">
        <v>34</v>
      </c>
      <c r="H5" s="1" t="s">
        <v>16</v>
      </c>
      <c r="I5" s="1" t="s">
        <v>16</v>
      </c>
      <c r="J5" s="1" t="s">
        <v>16</v>
      </c>
      <c r="K5" s="4" t="s">
        <v>16</v>
      </c>
      <c r="L5" s="1" t="s">
        <v>23</v>
      </c>
      <c r="M5" s="1" t="s">
        <v>35</v>
      </c>
      <c r="N5" s="5" t="s">
        <v>16</v>
      </c>
      <c r="O5" s="6" t="str">
        <f>IFERROR(VLOOKUP(K5,'2. Buzzi Admin Only'!Q:R,2,0),"")</f>
        <v/>
      </c>
    </row>
    <row r="6" spans="1:15" ht="15.75" customHeight="1" x14ac:dyDescent="0.25">
      <c r="A6" s="1" t="s">
        <v>36</v>
      </c>
      <c r="B6" s="1" t="s">
        <v>16</v>
      </c>
      <c r="C6" s="1" t="s">
        <v>16</v>
      </c>
      <c r="D6" s="2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4" t="s">
        <v>16</v>
      </c>
      <c r="L6" s="1" t="s">
        <v>16</v>
      </c>
      <c r="M6" s="1" t="s">
        <v>16</v>
      </c>
      <c r="N6" s="5" t="s">
        <v>16</v>
      </c>
      <c r="O6" s="6" t="str">
        <f>IFERROR(VLOOKUP(K6,'2. Buzzi Admin Only'!Q:R,2,0),"")</f>
        <v/>
      </c>
    </row>
    <row r="7" spans="1:15" ht="15.75" customHeight="1" x14ac:dyDescent="0.25">
      <c r="A7" s="1" t="s">
        <v>37</v>
      </c>
      <c r="B7" s="1" t="s">
        <v>38</v>
      </c>
      <c r="C7" s="1" t="s">
        <v>16</v>
      </c>
      <c r="D7" s="2" t="s">
        <v>39</v>
      </c>
      <c r="E7" s="1" t="s">
        <v>40</v>
      </c>
      <c r="F7" s="1" t="s">
        <v>20</v>
      </c>
      <c r="G7" s="1" t="s">
        <v>21</v>
      </c>
      <c r="H7" s="1" t="s">
        <v>41</v>
      </c>
      <c r="I7" s="1" t="s">
        <v>16</v>
      </c>
      <c r="J7" s="1" t="s">
        <v>16</v>
      </c>
      <c r="K7" s="4" t="s">
        <v>16</v>
      </c>
      <c r="L7" s="1" t="s">
        <v>23</v>
      </c>
      <c r="M7" s="1" t="s">
        <v>42</v>
      </c>
      <c r="N7" s="5" t="s">
        <v>16</v>
      </c>
      <c r="O7" s="6" t="str">
        <f>IFERROR(VLOOKUP(K7,'2. Buzzi Admin Only'!Q:R,2,0),"")</f>
        <v/>
      </c>
    </row>
    <row r="8" spans="1:15" ht="15.75" customHeight="1" x14ac:dyDescent="0.25">
      <c r="A8" s="1" t="s">
        <v>43</v>
      </c>
      <c r="B8" s="1" t="s">
        <v>16</v>
      </c>
      <c r="C8" s="1" t="s">
        <v>44</v>
      </c>
      <c r="D8" s="2" t="s">
        <v>45</v>
      </c>
      <c r="E8" s="1" t="s">
        <v>46</v>
      </c>
      <c r="F8" s="1" t="s">
        <v>20</v>
      </c>
      <c r="G8" s="1" t="s">
        <v>28</v>
      </c>
      <c r="H8" s="1" t="s">
        <v>47</v>
      </c>
      <c r="I8" s="1" t="s">
        <v>16</v>
      </c>
      <c r="J8" s="1" t="s">
        <v>16</v>
      </c>
      <c r="K8" s="4" t="s">
        <v>16</v>
      </c>
      <c r="L8" s="1" t="s">
        <v>23</v>
      </c>
      <c r="M8" s="1" t="s">
        <v>48</v>
      </c>
      <c r="N8" s="5" t="s">
        <v>16</v>
      </c>
      <c r="O8" s="6" t="str">
        <f>IFERROR(VLOOKUP(K8,'2. Buzzi Admin Only'!Q:R,2,0),"")</f>
        <v/>
      </c>
    </row>
    <row r="9" spans="1:15" ht="15.75" customHeight="1" x14ac:dyDescent="0.25">
      <c r="A9" s="1" t="s">
        <v>49</v>
      </c>
      <c r="B9" s="1" t="s">
        <v>16</v>
      </c>
      <c r="C9" s="1" t="s">
        <v>16</v>
      </c>
      <c r="D9" s="2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4" t="s">
        <v>16</v>
      </c>
      <c r="L9" s="1" t="s">
        <v>16</v>
      </c>
      <c r="M9" s="1" t="s">
        <v>16</v>
      </c>
      <c r="N9" s="5" t="s">
        <v>16</v>
      </c>
      <c r="O9" s="6" t="str">
        <f>IFERROR(VLOOKUP(K9,'2. Buzzi Admin Only'!Q:R,2,0),"")</f>
        <v/>
      </c>
    </row>
    <row r="10" spans="1:15" ht="15.75" customHeight="1" x14ac:dyDescent="0.25">
      <c r="A10" s="1" t="s">
        <v>50</v>
      </c>
      <c r="B10" s="1" t="s">
        <v>16</v>
      </c>
      <c r="C10" s="1" t="s">
        <v>16</v>
      </c>
      <c r="D10" s="2" t="s">
        <v>16</v>
      </c>
      <c r="E10" s="1" t="s">
        <v>51</v>
      </c>
      <c r="F10" s="1" t="s">
        <v>20</v>
      </c>
      <c r="G10" s="1" t="s">
        <v>44</v>
      </c>
      <c r="H10" s="1" t="s">
        <v>16</v>
      </c>
      <c r="I10" s="1" t="s">
        <v>16</v>
      </c>
      <c r="J10" s="1" t="s">
        <v>16</v>
      </c>
      <c r="K10" s="4" t="s">
        <v>16</v>
      </c>
      <c r="L10" s="1" t="s">
        <v>23</v>
      </c>
      <c r="M10" s="1" t="s">
        <v>52</v>
      </c>
      <c r="N10" s="5" t="s">
        <v>16</v>
      </c>
      <c r="O10" s="6" t="str">
        <f>IFERROR(VLOOKUP(K10,'2. Buzzi Admin Only'!Q:R,2,0),"")</f>
        <v/>
      </c>
    </row>
    <row r="11" spans="1:15" ht="15.75" customHeight="1" x14ac:dyDescent="0.25">
      <c r="A11" s="1" t="s">
        <v>53</v>
      </c>
      <c r="B11" s="1" t="s">
        <v>16</v>
      </c>
      <c r="C11" s="1" t="s">
        <v>16</v>
      </c>
      <c r="D11" s="2" t="s">
        <v>54</v>
      </c>
      <c r="E11" s="1" t="s">
        <v>55</v>
      </c>
      <c r="F11" s="1" t="s">
        <v>20</v>
      </c>
      <c r="G11" s="1" t="s">
        <v>21</v>
      </c>
      <c r="H11" s="1" t="s">
        <v>56</v>
      </c>
      <c r="I11" s="1" t="s">
        <v>16</v>
      </c>
      <c r="J11" s="1" t="s">
        <v>57</v>
      </c>
      <c r="K11" s="4" t="s">
        <v>16</v>
      </c>
      <c r="L11" s="1" t="s">
        <v>23</v>
      </c>
      <c r="M11" s="1" t="s">
        <v>58</v>
      </c>
      <c r="N11" s="5" t="s">
        <v>16</v>
      </c>
      <c r="O11" s="6" t="str">
        <f>IFERROR(VLOOKUP(K11,'2. Buzzi Admin Only'!Q:R,2,0),"")</f>
        <v/>
      </c>
    </row>
    <row r="12" spans="1:15" ht="15.75" customHeight="1" x14ac:dyDescent="0.25">
      <c r="A12" s="1" t="s">
        <v>59</v>
      </c>
      <c r="B12" s="1" t="s">
        <v>16</v>
      </c>
      <c r="C12" s="1" t="s">
        <v>60</v>
      </c>
      <c r="D12" s="2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0">
        <v>550</v>
      </c>
      <c r="L12" s="1" t="s">
        <v>16</v>
      </c>
      <c r="M12" s="1" t="s">
        <v>16</v>
      </c>
      <c r="N12" s="5" t="s">
        <v>16</v>
      </c>
      <c r="O12" s="6" t="str">
        <f>IFERROR(VLOOKUP(K12,'2. Buzzi Admin Only'!Q:R,2,0),"")</f>
        <v>Bags Cement Shipping (Packing &amp; Palletizers)</v>
      </c>
    </row>
    <row r="13" spans="1:15" ht="15.75" customHeight="1" x14ac:dyDescent="0.25">
      <c r="A13" s="1" t="s">
        <v>61</v>
      </c>
      <c r="B13" s="1" t="s">
        <v>16</v>
      </c>
      <c r="C13" s="1" t="s">
        <v>16</v>
      </c>
      <c r="D13" s="2" t="s">
        <v>62</v>
      </c>
      <c r="E13" s="1" t="s">
        <v>40</v>
      </c>
      <c r="F13" s="1" t="s">
        <v>20</v>
      </c>
      <c r="G13" s="1" t="s">
        <v>28</v>
      </c>
      <c r="H13" s="1" t="s">
        <v>16</v>
      </c>
      <c r="I13" s="1" t="s">
        <v>16</v>
      </c>
      <c r="J13" s="1" t="s">
        <v>16</v>
      </c>
      <c r="K13" s="4" t="s">
        <v>16</v>
      </c>
      <c r="L13" s="1" t="s">
        <v>23</v>
      </c>
      <c r="M13" s="1" t="s">
        <v>63</v>
      </c>
      <c r="N13" s="5" t="s">
        <v>16</v>
      </c>
      <c r="O13" s="6" t="str">
        <f>IFERROR(VLOOKUP(K13,'2. Buzzi Admin Only'!Q:R,2,0),"")</f>
        <v/>
      </c>
    </row>
    <row r="14" spans="1:15" ht="15.75" customHeight="1" x14ac:dyDescent="0.25">
      <c r="A14" s="1" t="s">
        <v>64</v>
      </c>
      <c r="B14" s="1" t="s">
        <v>38</v>
      </c>
      <c r="C14" s="1" t="s">
        <v>16</v>
      </c>
      <c r="D14" s="2" t="s">
        <v>65</v>
      </c>
      <c r="E14" s="1" t="s">
        <v>66</v>
      </c>
      <c r="F14" s="1" t="s">
        <v>20</v>
      </c>
      <c r="G14" s="1" t="s">
        <v>28</v>
      </c>
      <c r="H14" s="1" t="s">
        <v>67</v>
      </c>
      <c r="I14" s="1" t="s">
        <v>16</v>
      </c>
      <c r="J14" s="1" t="s">
        <v>16</v>
      </c>
      <c r="K14" s="4" t="s">
        <v>16</v>
      </c>
      <c r="L14" s="1" t="s">
        <v>23</v>
      </c>
      <c r="M14" s="1" t="s">
        <v>68</v>
      </c>
      <c r="N14" s="5" t="s">
        <v>16</v>
      </c>
      <c r="O14" s="6" t="str">
        <f>IFERROR(VLOOKUP(K14,'2. Buzzi Admin Only'!Q:R,2,0),"")</f>
        <v/>
      </c>
    </row>
    <row r="15" spans="1:15" ht="15.75" customHeight="1" x14ac:dyDescent="0.25">
      <c r="A15" s="1" t="s">
        <v>69</v>
      </c>
      <c r="B15" s="1" t="s">
        <v>16</v>
      </c>
      <c r="C15" s="1" t="s">
        <v>16</v>
      </c>
      <c r="D15" s="2" t="s">
        <v>16</v>
      </c>
      <c r="E15" s="1" t="s">
        <v>40</v>
      </c>
      <c r="F15" s="1" t="s">
        <v>20</v>
      </c>
      <c r="G15" s="1" t="s">
        <v>70</v>
      </c>
      <c r="H15" s="1" t="s">
        <v>16</v>
      </c>
      <c r="I15" s="1" t="s">
        <v>16</v>
      </c>
      <c r="J15" s="1" t="s">
        <v>16</v>
      </c>
      <c r="K15" s="4" t="s">
        <v>16</v>
      </c>
      <c r="L15" s="1" t="s">
        <v>71</v>
      </c>
      <c r="M15" s="1" t="s">
        <v>16</v>
      </c>
      <c r="N15" s="5" t="s">
        <v>16</v>
      </c>
      <c r="O15" s="6" t="str">
        <f>IFERROR(VLOOKUP(K15,'2. Buzzi Admin Only'!Q:R,2,0),"")</f>
        <v/>
      </c>
    </row>
    <row r="16" spans="1:15" ht="15.75" customHeight="1" x14ac:dyDescent="0.25">
      <c r="A16" s="1" t="s">
        <v>72</v>
      </c>
      <c r="B16" s="1" t="s">
        <v>16</v>
      </c>
      <c r="C16" s="1" t="s">
        <v>16</v>
      </c>
      <c r="D16" s="2" t="s">
        <v>73</v>
      </c>
      <c r="E16" s="1" t="s">
        <v>74</v>
      </c>
      <c r="F16" s="1" t="s">
        <v>20</v>
      </c>
      <c r="G16" s="1" t="s">
        <v>21</v>
      </c>
      <c r="H16" s="1" t="s">
        <v>75</v>
      </c>
      <c r="I16" s="1" t="s">
        <v>16</v>
      </c>
      <c r="J16" s="1" t="s">
        <v>57</v>
      </c>
      <c r="K16" s="4" t="s">
        <v>16</v>
      </c>
      <c r="L16" s="1" t="s">
        <v>23</v>
      </c>
      <c r="M16" s="1" t="s">
        <v>58</v>
      </c>
      <c r="N16" s="5" t="s">
        <v>16</v>
      </c>
      <c r="O16" s="6" t="str">
        <f>IFERROR(VLOOKUP(K16,'2. Buzzi Admin Only'!Q:R,2,0),"")</f>
        <v/>
      </c>
    </row>
    <row r="17" spans="1:15" ht="15.75" customHeight="1" x14ac:dyDescent="0.25">
      <c r="A17" s="1" t="s">
        <v>76</v>
      </c>
      <c r="B17" s="1" t="s">
        <v>38</v>
      </c>
      <c r="C17" s="1" t="s">
        <v>16</v>
      </c>
      <c r="D17" s="2" t="s">
        <v>77</v>
      </c>
      <c r="E17" s="1" t="s">
        <v>78</v>
      </c>
      <c r="F17" s="1" t="s">
        <v>20</v>
      </c>
      <c r="G17" s="1" t="s">
        <v>21</v>
      </c>
      <c r="H17" s="1" t="s">
        <v>79</v>
      </c>
      <c r="I17" s="1" t="s">
        <v>16</v>
      </c>
      <c r="J17" s="1" t="s">
        <v>57</v>
      </c>
      <c r="K17" s="4" t="s">
        <v>16</v>
      </c>
      <c r="L17" s="1" t="s">
        <v>23</v>
      </c>
      <c r="M17" s="1" t="s">
        <v>58</v>
      </c>
      <c r="N17" s="5" t="s">
        <v>16</v>
      </c>
      <c r="O17" s="6" t="str">
        <f>IFERROR(VLOOKUP(K17,'2. Buzzi Admin Only'!Q:R,2,0),"")</f>
        <v/>
      </c>
    </row>
    <row r="18" spans="1:15" ht="15.75" customHeight="1" x14ac:dyDescent="0.25">
      <c r="A18" s="1" t="s">
        <v>80</v>
      </c>
      <c r="B18" s="1" t="s">
        <v>16</v>
      </c>
      <c r="C18" s="1" t="s">
        <v>16</v>
      </c>
      <c r="D18" s="2" t="s">
        <v>16</v>
      </c>
      <c r="E18" s="1" t="s">
        <v>40</v>
      </c>
      <c r="F18" s="1" t="s">
        <v>20</v>
      </c>
      <c r="G18" s="1" t="s">
        <v>21</v>
      </c>
      <c r="H18" s="1" t="s">
        <v>16</v>
      </c>
      <c r="I18" s="1" t="s">
        <v>16</v>
      </c>
      <c r="J18" s="1" t="s">
        <v>16</v>
      </c>
      <c r="K18" s="4" t="s">
        <v>16</v>
      </c>
      <c r="L18" s="1" t="s">
        <v>23</v>
      </c>
      <c r="M18" s="1" t="s">
        <v>16</v>
      </c>
      <c r="N18" s="5" t="s">
        <v>16</v>
      </c>
      <c r="O18" s="6" t="str">
        <f>IFERROR(VLOOKUP(K18,'2. Buzzi Admin Only'!Q:R,2,0),"")</f>
        <v/>
      </c>
    </row>
    <row r="19" spans="1:15" ht="15.75" customHeight="1" x14ac:dyDescent="0.25">
      <c r="A19" s="1" t="s">
        <v>81</v>
      </c>
      <c r="B19" s="1" t="s">
        <v>38</v>
      </c>
      <c r="C19" s="1" t="s">
        <v>16</v>
      </c>
      <c r="D19" s="2" t="s">
        <v>82</v>
      </c>
      <c r="E19" s="1" t="s">
        <v>83</v>
      </c>
      <c r="F19" s="1" t="s">
        <v>20</v>
      </c>
      <c r="G19" s="1" t="s">
        <v>28</v>
      </c>
      <c r="H19" s="1" t="s">
        <v>84</v>
      </c>
      <c r="I19" s="1" t="s">
        <v>16</v>
      </c>
      <c r="J19" s="1" t="s">
        <v>16</v>
      </c>
      <c r="K19" s="4" t="s">
        <v>16</v>
      </c>
      <c r="L19" s="1" t="s">
        <v>23</v>
      </c>
      <c r="M19" s="1" t="s">
        <v>58</v>
      </c>
      <c r="N19" s="5" t="s">
        <v>16</v>
      </c>
      <c r="O19" s="6" t="str">
        <f>IFERROR(VLOOKUP(K19,'2. Buzzi Admin Only'!Q:R,2,0),"")</f>
        <v/>
      </c>
    </row>
    <row r="20" spans="1:15" ht="15.75" customHeight="1" x14ac:dyDescent="0.25">
      <c r="A20" s="1" t="s">
        <v>85</v>
      </c>
      <c r="B20" s="1" t="s">
        <v>16</v>
      </c>
      <c r="C20" s="1" t="s">
        <v>16</v>
      </c>
      <c r="D20" s="2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4" t="s">
        <v>16</v>
      </c>
      <c r="L20" s="1" t="s">
        <v>16</v>
      </c>
      <c r="M20" s="1" t="s">
        <v>16</v>
      </c>
      <c r="N20" s="5" t="s">
        <v>16</v>
      </c>
      <c r="O20" s="6" t="str">
        <f>IFERROR(VLOOKUP(K20,'2. Buzzi Admin Only'!Q:R,2,0),"")</f>
        <v/>
      </c>
    </row>
    <row r="21" spans="1:15" ht="15.75" customHeight="1" x14ac:dyDescent="0.25">
      <c r="A21" s="1" t="s">
        <v>86</v>
      </c>
      <c r="B21" s="1" t="s">
        <v>16</v>
      </c>
      <c r="C21" s="1" t="s">
        <v>16</v>
      </c>
      <c r="D21" s="2" t="s">
        <v>87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4" t="s">
        <v>16</v>
      </c>
      <c r="L21" s="1" t="s">
        <v>23</v>
      </c>
      <c r="M21" s="1" t="s">
        <v>16</v>
      </c>
      <c r="N21" s="5" t="s">
        <v>16</v>
      </c>
      <c r="O21" s="6" t="str">
        <f>IFERROR(VLOOKUP(K21,'2. Buzzi Admin Only'!Q:R,2,0),"")</f>
        <v/>
      </c>
    </row>
    <row r="22" spans="1:15" ht="15.75" customHeight="1" x14ac:dyDescent="0.25">
      <c r="A22" s="1" t="s">
        <v>88</v>
      </c>
      <c r="B22" s="1" t="s">
        <v>16</v>
      </c>
      <c r="C22" s="1" t="s">
        <v>16</v>
      </c>
      <c r="D22" s="2" t="s">
        <v>16</v>
      </c>
      <c r="E22" s="1" t="s">
        <v>89</v>
      </c>
      <c r="F22" s="1" t="s">
        <v>20</v>
      </c>
      <c r="G22" s="1" t="s">
        <v>28</v>
      </c>
      <c r="H22" s="1" t="s">
        <v>90</v>
      </c>
      <c r="I22" s="1" t="s">
        <v>16</v>
      </c>
      <c r="J22" s="1" t="s">
        <v>16</v>
      </c>
      <c r="K22" s="4" t="s">
        <v>16</v>
      </c>
      <c r="L22" s="1" t="s">
        <v>23</v>
      </c>
      <c r="M22" s="1" t="s">
        <v>91</v>
      </c>
      <c r="N22" s="5" t="s">
        <v>16</v>
      </c>
      <c r="O22" s="6" t="str">
        <f>IFERROR(VLOOKUP(K22,'2. Buzzi Admin Only'!Q:R,2,0),"")</f>
        <v/>
      </c>
    </row>
    <row r="23" spans="1:15" ht="15.75" customHeight="1" x14ac:dyDescent="0.25">
      <c r="A23" s="1" t="s">
        <v>92</v>
      </c>
      <c r="B23" s="1" t="s">
        <v>16</v>
      </c>
      <c r="C23" s="1" t="s">
        <v>16</v>
      </c>
      <c r="D23" s="2" t="s">
        <v>93</v>
      </c>
      <c r="E23" s="1" t="s">
        <v>94</v>
      </c>
      <c r="F23" s="1" t="s">
        <v>20</v>
      </c>
      <c r="G23" s="1" t="s">
        <v>44</v>
      </c>
      <c r="H23" s="1" t="s">
        <v>95</v>
      </c>
      <c r="I23" s="1" t="s">
        <v>16</v>
      </c>
      <c r="J23" s="1" t="s">
        <v>16</v>
      </c>
      <c r="K23" s="4" t="s">
        <v>16</v>
      </c>
      <c r="L23" s="1" t="s">
        <v>23</v>
      </c>
      <c r="M23" s="1"/>
      <c r="N23" s="5" t="s">
        <v>16</v>
      </c>
      <c r="O23" s="6" t="str">
        <f>IFERROR(VLOOKUP(K23,'2. Buzzi Admin Only'!Q:R,2,0),"")</f>
        <v/>
      </c>
    </row>
    <row r="24" spans="1:15" ht="15.75" customHeight="1" x14ac:dyDescent="0.25">
      <c r="A24" s="1" t="s">
        <v>96</v>
      </c>
      <c r="B24" s="1" t="s">
        <v>16</v>
      </c>
      <c r="C24" s="1" t="s">
        <v>16</v>
      </c>
      <c r="D24" s="2" t="s">
        <v>16</v>
      </c>
      <c r="E24" s="1" t="s">
        <v>97</v>
      </c>
      <c r="F24" s="1" t="s">
        <v>20</v>
      </c>
      <c r="G24" s="1" t="s">
        <v>44</v>
      </c>
      <c r="H24" s="1" t="s">
        <v>16</v>
      </c>
      <c r="I24" s="1" t="s">
        <v>16</v>
      </c>
      <c r="J24" s="1" t="s">
        <v>16</v>
      </c>
      <c r="K24" s="4" t="s">
        <v>16</v>
      </c>
      <c r="L24" s="1" t="s">
        <v>71</v>
      </c>
      <c r="M24" s="1" t="s">
        <v>16</v>
      </c>
      <c r="N24" s="5" t="s">
        <v>16</v>
      </c>
      <c r="O24" s="6" t="str">
        <f>IFERROR(VLOOKUP(K24,'2. Buzzi Admin Only'!Q:R,2,0),"")</f>
        <v/>
      </c>
    </row>
    <row r="25" spans="1:15" ht="15.75" customHeight="1" x14ac:dyDescent="0.25">
      <c r="A25" s="1" t="s">
        <v>98</v>
      </c>
      <c r="B25" s="1" t="s">
        <v>16</v>
      </c>
      <c r="C25" s="1" t="s">
        <v>16</v>
      </c>
      <c r="D25" s="2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4" t="s">
        <v>16</v>
      </c>
      <c r="L25" s="1" t="s">
        <v>16</v>
      </c>
      <c r="M25" s="1" t="s">
        <v>16</v>
      </c>
      <c r="N25" s="5" t="s">
        <v>16</v>
      </c>
      <c r="O25" s="6" t="str">
        <f>IFERROR(VLOOKUP(K25,'2. Buzzi Admin Only'!Q:R,2,0),"")</f>
        <v/>
      </c>
    </row>
    <row r="26" spans="1:15" ht="15.75" customHeight="1" x14ac:dyDescent="0.25">
      <c r="A26" s="1" t="s">
        <v>99</v>
      </c>
      <c r="B26" s="1" t="s">
        <v>16</v>
      </c>
      <c r="C26" s="1" t="s">
        <v>16</v>
      </c>
      <c r="D26" s="2" t="s">
        <v>16</v>
      </c>
      <c r="E26" s="1" t="s">
        <v>100</v>
      </c>
      <c r="F26" s="1" t="s">
        <v>20</v>
      </c>
      <c r="G26" s="1" t="s">
        <v>28</v>
      </c>
      <c r="H26" s="1" t="s">
        <v>101</v>
      </c>
      <c r="I26" s="1" t="s">
        <v>16</v>
      </c>
      <c r="J26" s="1" t="s">
        <v>16</v>
      </c>
      <c r="K26" s="4" t="s">
        <v>16</v>
      </c>
      <c r="L26" s="1" t="s">
        <v>23</v>
      </c>
      <c r="M26" s="1" t="s">
        <v>102</v>
      </c>
      <c r="N26" s="5" t="s">
        <v>16</v>
      </c>
      <c r="O26" s="6" t="str">
        <f>IFERROR(VLOOKUP(K26,'2. Buzzi Admin Only'!Q:R,2,0),"")</f>
        <v/>
      </c>
    </row>
    <row r="27" spans="1:15" ht="15.75" customHeight="1" x14ac:dyDescent="0.25">
      <c r="A27" s="1" t="s">
        <v>103</v>
      </c>
      <c r="B27" s="1" t="s">
        <v>16</v>
      </c>
      <c r="C27" s="1" t="s">
        <v>60</v>
      </c>
      <c r="D27" s="2" t="s">
        <v>104</v>
      </c>
      <c r="E27" s="1" t="s">
        <v>105</v>
      </c>
      <c r="F27" s="1" t="s">
        <v>20</v>
      </c>
      <c r="G27" s="1" t="s">
        <v>44</v>
      </c>
      <c r="H27" s="1" t="s">
        <v>106</v>
      </c>
      <c r="I27" s="1" t="s">
        <v>16</v>
      </c>
      <c r="J27" s="1" t="s">
        <v>16</v>
      </c>
      <c r="K27" s="4" t="s">
        <v>16</v>
      </c>
      <c r="L27" s="1" t="s">
        <v>23</v>
      </c>
      <c r="M27" s="1" t="s">
        <v>107</v>
      </c>
      <c r="N27" s="5" t="s">
        <v>16</v>
      </c>
      <c r="O27" s="6" t="str">
        <f>IFERROR(VLOOKUP(K27,'2. Buzzi Admin Only'!Q:R,2,0),"")</f>
        <v/>
      </c>
    </row>
    <row r="28" spans="1:15" ht="15.75" customHeight="1" x14ac:dyDescent="0.25">
      <c r="A28" s="1" t="s">
        <v>108</v>
      </c>
      <c r="B28" s="1" t="s">
        <v>16</v>
      </c>
      <c r="C28" s="1" t="s">
        <v>16</v>
      </c>
      <c r="D28" s="2" t="s">
        <v>109</v>
      </c>
      <c r="E28" s="1" t="s">
        <v>110</v>
      </c>
      <c r="F28" s="1" t="s">
        <v>20</v>
      </c>
      <c r="G28" s="1" t="s">
        <v>44</v>
      </c>
      <c r="H28" s="1" t="s">
        <v>111</v>
      </c>
      <c r="I28" s="1" t="s">
        <v>16</v>
      </c>
      <c r="J28" s="1" t="s">
        <v>16</v>
      </c>
      <c r="K28" s="4" t="s">
        <v>16</v>
      </c>
      <c r="L28" s="1" t="s">
        <v>23</v>
      </c>
      <c r="M28" s="1" t="s">
        <v>112</v>
      </c>
      <c r="N28" s="5" t="s">
        <v>16</v>
      </c>
      <c r="O28" s="6" t="str">
        <f>IFERROR(VLOOKUP(K28,'2. Buzzi Admin Only'!Q:R,2,0),"")</f>
        <v/>
      </c>
    </row>
    <row r="29" spans="1:15" ht="15.75" customHeight="1" x14ac:dyDescent="0.25">
      <c r="A29" s="1" t="s">
        <v>113</v>
      </c>
      <c r="B29" s="1" t="s">
        <v>16</v>
      </c>
      <c r="C29" s="1" t="s">
        <v>16</v>
      </c>
      <c r="D29" s="2" t="s">
        <v>16</v>
      </c>
      <c r="E29" s="1" t="s">
        <v>114</v>
      </c>
      <c r="F29" s="1" t="s">
        <v>20</v>
      </c>
      <c r="G29" s="1" t="s">
        <v>44</v>
      </c>
      <c r="H29" s="1" t="s">
        <v>115</v>
      </c>
      <c r="I29" s="1" t="s">
        <v>16</v>
      </c>
      <c r="J29" s="1" t="s">
        <v>16</v>
      </c>
      <c r="K29" s="4" t="s">
        <v>16</v>
      </c>
      <c r="L29" s="1" t="s">
        <v>23</v>
      </c>
      <c r="M29" s="1" t="s">
        <v>116</v>
      </c>
      <c r="N29" s="5" t="s">
        <v>16</v>
      </c>
      <c r="O29" s="6" t="str">
        <f>IFERROR(VLOOKUP(K29,'2. Buzzi Admin Only'!Q:R,2,0),"")</f>
        <v/>
      </c>
    </row>
    <row r="30" spans="1:15" ht="15.75" customHeight="1" x14ac:dyDescent="0.25">
      <c r="A30" s="1" t="s">
        <v>117</v>
      </c>
      <c r="B30" s="1" t="s">
        <v>16</v>
      </c>
      <c r="C30" s="1" t="s">
        <v>16</v>
      </c>
      <c r="D30" s="2" t="s">
        <v>118</v>
      </c>
      <c r="E30" s="1" t="s">
        <v>119</v>
      </c>
      <c r="F30" s="1" t="s">
        <v>16</v>
      </c>
      <c r="G30" s="1" t="s">
        <v>16</v>
      </c>
      <c r="H30" s="1" t="s">
        <v>16</v>
      </c>
      <c r="I30" s="1" t="s">
        <v>16</v>
      </c>
      <c r="J30" s="1" t="s">
        <v>16</v>
      </c>
      <c r="K30" s="4" t="s">
        <v>16</v>
      </c>
      <c r="L30" s="1" t="s">
        <v>120</v>
      </c>
      <c r="M30" s="1" t="s">
        <v>121</v>
      </c>
      <c r="N30" s="5" t="s">
        <v>16</v>
      </c>
      <c r="O30" s="6" t="str">
        <f>IFERROR(VLOOKUP(K30,'2. Buzzi Admin Only'!Q:R,2,0),"")</f>
        <v/>
      </c>
    </row>
    <row r="31" spans="1:15" ht="15.75" customHeight="1" x14ac:dyDescent="0.25">
      <c r="A31" s="1" t="s">
        <v>122</v>
      </c>
      <c r="B31" s="1" t="s">
        <v>16</v>
      </c>
      <c r="C31" s="1" t="s">
        <v>123</v>
      </c>
      <c r="D31" s="2" t="s">
        <v>124</v>
      </c>
      <c r="E31" s="1" t="s">
        <v>125</v>
      </c>
      <c r="F31" s="1" t="s">
        <v>16</v>
      </c>
      <c r="G31" s="1" t="s">
        <v>16</v>
      </c>
      <c r="H31" s="1" t="s">
        <v>16</v>
      </c>
      <c r="I31" s="1" t="s">
        <v>16</v>
      </c>
      <c r="J31" s="1" t="s">
        <v>16</v>
      </c>
      <c r="K31" s="4" t="s">
        <v>16</v>
      </c>
      <c r="L31" s="1" t="s">
        <v>120</v>
      </c>
      <c r="M31" s="1" t="s">
        <v>126</v>
      </c>
      <c r="N31" s="5" t="s">
        <v>16</v>
      </c>
      <c r="O31" s="6" t="str">
        <f>IFERROR(VLOOKUP(K31,'2. Buzzi Admin Only'!Q:R,2,0),"")</f>
        <v/>
      </c>
    </row>
    <row r="32" spans="1:15" ht="15.75" customHeight="1" x14ac:dyDescent="0.25">
      <c r="A32" s="1" t="s">
        <v>127</v>
      </c>
      <c r="B32" s="1" t="s">
        <v>16</v>
      </c>
      <c r="C32" s="1" t="s">
        <v>16</v>
      </c>
      <c r="D32" s="2" t="s">
        <v>16</v>
      </c>
      <c r="E32" s="1" t="s">
        <v>16</v>
      </c>
      <c r="F32" s="1" t="s">
        <v>16</v>
      </c>
      <c r="G32" s="1" t="s">
        <v>16</v>
      </c>
      <c r="H32" s="1" t="s">
        <v>16</v>
      </c>
      <c r="I32" s="1" t="s">
        <v>16</v>
      </c>
      <c r="J32" s="1" t="s">
        <v>16</v>
      </c>
      <c r="K32" s="4" t="s">
        <v>16</v>
      </c>
      <c r="L32" s="1" t="s">
        <v>16</v>
      </c>
      <c r="M32" s="1" t="s">
        <v>16</v>
      </c>
      <c r="N32" s="5" t="s">
        <v>16</v>
      </c>
      <c r="O32" s="6" t="str">
        <f>IFERROR(VLOOKUP(K32,'2. Buzzi Admin Only'!Q:R,2,0),"")</f>
        <v/>
      </c>
    </row>
    <row r="33" spans="1:15" ht="15.75" customHeight="1" x14ac:dyDescent="0.25">
      <c r="A33" s="1" t="s">
        <v>128</v>
      </c>
      <c r="B33" s="1" t="s">
        <v>16</v>
      </c>
      <c r="C33" s="1" t="s">
        <v>16</v>
      </c>
      <c r="D33" s="2" t="s">
        <v>16</v>
      </c>
      <c r="E33" s="1" t="s">
        <v>129</v>
      </c>
      <c r="F33" s="1" t="s">
        <v>130</v>
      </c>
      <c r="G33" s="1" t="s">
        <v>70</v>
      </c>
      <c r="H33" s="1" t="s">
        <v>131</v>
      </c>
      <c r="I33" s="1" t="s">
        <v>16</v>
      </c>
      <c r="J33" s="1" t="s">
        <v>16</v>
      </c>
      <c r="K33" s="4" t="s">
        <v>16</v>
      </c>
      <c r="L33" s="1" t="s">
        <v>23</v>
      </c>
      <c r="M33" s="1" t="s">
        <v>16</v>
      </c>
      <c r="N33" s="5" t="s">
        <v>16</v>
      </c>
      <c r="O33" s="6" t="str">
        <f>IFERROR(VLOOKUP(K33,'2. Buzzi Admin Only'!Q:R,2,0),"")</f>
        <v/>
      </c>
    </row>
    <row r="34" spans="1:15" ht="15.75" customHeight="1" x14ac:dyDescent="0.25">
      <c r="A34" s="1" t="s">
        <v>132</v>
      </c>
      <c r="B34" s="1" t="s">
        <v>133</v>
      </c>
      <c r="C34" s="1" t="s">
        <v>44</v>
      </c>
      <c r="D34" s="2" t="s">
        <v>134</v>
      </c>
      <c r="E34" s="1" t="s">
        <v>135</v>
      </c>
      <c r="F34" s="1" t="s">
        <v>20</v>
      </c>
      <c r="G34" s="1" t="s">
        <v>44</v>
      </c>
      <c r="H34" s="1" t="s">
        <v>136</v>
      </c>
      <c r="I34" s="1" t="s">
        <v>16</v>
      </c>
      <c r="J34" s="1" t="s">
        <v>16</v>
      </c>
      <c r="K34" s="4" t="s">
        <v>16</v>
      </c>
      <c r="L34" s="1" t="s">
        <v>23</v>
      </c>
      <c r="M34" s="1" t="s">
        <v>16</v>
      </c>
      <c r="N34" s="5" t="s">
        <v>16</v>
      </c>
      <c r="O34" s="6" t="str">
        <f>IFERROR(VLOOKUP(K34,'2. Buzzi Admin Only'!Q:R,2,0),"")</f>
        <v/>
      </c>
    </row>
    <row r="35" spans="1:15" ht="15.75" customHeight="1" x14ac:dyDescent="0.25">
      <c r="A35" s="1" t="s">
        <v>137</v>
      </c>
      <c r="B35" s="1" t="s">
        <v>138</v>
      </c>
      <c r="C35" s="1" t="s">
        <v>60</v>
      </c>
      <c r="D35" s="2" t="s">
        <v>139</v>
      </c>
      <c r="E35" s="1" t="s">
        <v>140</v>
      </c>
      <c r="F35" s="1" t="s">
        <v>141</v>
      </c>
      <c r="G35" s="1" t="s">
        <v>142</v>
      </c>
      <c r="H35" s="1" t="s">
        <v>143</v>
      </c>
      <c r="I35" s="1" t="s">
        <v>16</v>
      </c>
      <c r="J35" s="1" t="s">
        <v>16</v>
      </c>
      <c r="K35" s="4" t="s">
        <v>16</v>
      </c>
      <c r="L35" s="1" t="s">
        <v>23</v>
      </c>
      <c r="M35" s="1" t="s">
        <v>16</v>
      </c>
      <c r="N35" s="5" t="s">
        <v>16</v>
      </c>
      <c r="O35" s="6" t="str">
        <f>IFERROR(VLOOKUP(K35,'2. Buzzi Admin Only'!Q:R,2,0),"")</f>
        <v/>
      </c>
    </row>
    <row r="36" spans="1:15" ht="15.75" customHeight="1" x14ac:dyDescent="0.25">
      <c r="A36" s="1" t="s">
        <v>144</v>
      </c>
      <c r="B36" s="1" t="s">
        <v>16</v>
      </c>
      <c r="C36" s="1" t="s">
        <v>145</v>
      </c>
      <c r="D36" s="2" t="s">
        <v>146</v>
      </c>
      <c r="E36" s="1" t="s">
        <v>147</v>
      </c>
      <c r="F36" s="1" t="s">
        <v>141</v>
      </c>
      <c r="G36" s="1" t="s">
        <v>148</v>
      </c>
      <c r="H36" s="1" t="s">
        <v>149</v>
      </c>
      <c r="I36" s="1" t="s">
        <v>16</v>
      </c>
      <c r="J36" s="1" t="s">
        <v>16</v>
      </c>
      <c r="K36" s="4" t="s">
        <v>16</v>
      </c>
      <c r="L36" s="1" t="s">
        <v>71</v>
      </c>
      <c r="M36" s="1" t="s">
        <v>150</v>
      </c>
      <c r="N36" s="5" t="s">
        <v>16</v>
      </c>
      <c r="O36" s="6" t="str">
        <f>IFERROR(VLOOKUP(K36,'2. Buzzi Admin Only'!Q:R,2,0),"")</f>
        <v/>
      </c>
    </row>
    <row r="37" spans="1:15" ht="15.75" customHeight="1" x14ac:dyDescent="0.25">
      <c r="A37" s="1" t="s">
        <v>151</v>
      </c>
      <c r="B37" s="1" t="s">
        <v>133</v>
      </c>
      <c r="C37" s="1" t="s">
        <v>152</v>
      </c>
      <c r="D37" s="2" t="s">
        <v>153</v>
      </c>
      <c r="E37" s="1" t="s">
        <v>154</v>
      </c>
      <c r="F37" s="1" t="s">
        <v>20</v>
      </c>
      <c r="G37" s="1" t="s">
        <v>44</v>
      </c>
      <c r="H37" s="1" t="s">
        <v>155</v>
      </c>
      <c r="I37" s="1" t="s">
        <v>16</v>
      </c>
      <c r="J37" s="1" t="s">
        <v>16</v>
      </c>
      <c r="K37" s="4" t="s">
        <v>16</v>
      </c>
      <c r="L37" s="1" t="s">
        <v>23</v>
      </c>
      <c r="M37" s="1" t="s">
        <v>156</v>
      </c>
      <c r="N37" s="5" t="s">
        <v>16</v>
      </c>
      <c r="O37" s="6" t="str">
        <f>IFERROR(VLOOKUP(K37,'2. Buzzi Admin Only'!Q:R,2,0),"")</f>
        <v/>
      </c>
    </row>
    <row r="38" spans="1:15" ht="15.75" customHeight="1" x14ac:dyDescent="0.25">
      <c r="A38" s="1" t="s">
        <v>157</v>
      </c>
      <c r="B38" s="1" t="s">
        <v>158</v>
      </c>
      <c r="C38" s="1" t="s">
        <v>60</v>
      </c>
      <c r="D38" s="2" t="s">
        <v>159</v>
      </c>
      <c r="E38" s="1" t="s">
        <v>160</v>
      </c>
      <c r="F38" s="1" t="s">
        <v>141</v>
      </c>
      <c r="G38" s="1" t="s">
        <v>142</v>
      </c>
      <c r="H38" s="1" t="s">
        <v>16</v>
      </c>
      <c r="I38" s="1" t="s">
        <v>16</v>
      </c>
      <c r="J38" s="1" t="s">
        <v>16</v>
      </c>
      <c r="K38" s="4" t="s">
        <v>16</v>
      </c>
      <c r="L38" s="1" t="s">
        <v>23</v>
      </c>
      <c r="M38" s="1" t="s">
        <v>161</v>
      </c>
      <c r="N38" s="5" t="s">
        <v>16</v>
      </c>
      <c r="O38" s="6" t="str">
        <f>IFERROR(VLOOKUP(K38,'2. Buzzi Admin Only'!Q:R,2,0),"")</f>
        <v/>
      </c>
    </row>
    <row r="39" spans="1:15" ht="15.75" customHeight="1" x14ac:dyDescent="0.25">
      <c r="A39" s="1" t="s">
        <v>162</v>
      </c>
      <c r="B39" s="1" t="s">
        <v>158</v>
      </c>
      <c r="C39" s="1" t="s">
        <v>16</v>
      </c>
      <c r="D39" s="2" t="s">
        <v>163</v>
      </c>
      <c r="E39" s="1" t="s">
        <v>164</v>
      </c>
      <c r="F39" s="1" t="s">
        <v>141</v>
      </c>
      <c r="G39" s="1" t="s">
        <v>152</v>
      </c>
      <c r="H39" s="1" t="s">
        <v>165</v>
      </c>
      <c r="I39" s="1" t="s">
        <v>16</v>
      </c>
      <c r="J39" s="1" t="s">
        <v>16</v>
      </c>
      <c r="K39" s="4" t="s">
        <v>16</v>
      </c>
      <c r="L39" s="1" t="s">
        <v>23</v>
      </c>
      <c r="M39" s="1" t="s">
        <v>166</v>
      </c>
      <c r="N39" s="5" t="s">
        <v>16</v>
      </c>
      <c r="O39" s="6" t="str">
        <f>IFERROR(VLOOKUP(K39,'2. Buzzi Admin Only'!Q:R,2,0),"")</f>
        <v/>
      </c>
    </row>
    <row r="40" spans="1:15" ht="15.75" customHeight="1" x14ac:dyDescent="0.25">
      <c r="A40" s="1" t="s">
        <v>167</v>
      </c>
      <c r="B40" s="1" t="s">
        <v>16</v>
      </c>
      <c r="C40" s="1" t="s">
        <v>44</v>
      </c>
      <c r="D40" s="2" t="s">
        <v>168</v>
      </c>
      <c r="E40" s="1" t="s">
        <v>169</v>
      </c>
      <c r="F40" s="1" t="s">
        <v>141</v>
      </c>
      <c r="G40" s="1" t="s">
        <v>142</v>
      </c>
      <c r="H40" s="1" t="s">
        <v>170</v>
      </c>
      <c r="I40" s="1" t="s">
        <v>16</v>
      </c>
      <c r="J40" s="1" t="s">
        <v>16</v>
      </c>
      <c r="K40" s="4" t="s">
        <v>16</v>
      </c>
      <c r="L40" s="1" t="s">
        <v>23</v>
      </c>
      <c r="M40" s="1" t="s">
        <v>16</v>
      </c>
      <c r="N40" s="5" t="s">
        <v>16</v>
      </c>
      <c r="O40" s="6" t="str">
        <f>IFERROR(VLOOKUP(K40,'2. Buzzi Admin Only'!Q:R,2,0),"")</f>
        <v/>
      </c>
    </row>
    <row r="41" spans="1:15" ht="15.75" customHeight="1" x14ac:dyDescent="0.25">
      <c r="A41" s="1" t="s">
        <v>171</v>
      </c>
      <c r="B41" s="1" t="s">
        <v>16</v>
      </c>
      <c r="C41" s="1" t="s">
        <v>16</v>
      </c>
      <c r="D41" s="2" t="s">
        <v>16</v>
      </c>
      <c r="E41" s="1" t="s">
        <v>16</v>
      </c>
      <c r="F41" s="1" t="s">
        <v>16</v>
      </c>
      <c r="G41" s="1" t="s">
        <v>16</v>
      </c>
      <c r="H41" s="1" t="s">
        <v>16</v>
      </c>
      <c r="I41" s="1" t="s">
        <v>16</v>
      </c>
      <c r="J41" s="1" t="s">
        <v>16</v>
      </c>
      <c r="K41" s="4" t="s">
        <v>16</v>
      </c>
      <c r="L41" s="1" t="s">
        <v>16</v>
      </c>
      <c r="M41" s="1" t="s">
        <v>16</v>
      </c>
      <c r="N41" s="5" t="s">
        <v>16</v>
      </c>
      <c r="O41" s="6" t="str">
        <f>IFERROR(VLOOKUP(K41,'2. Buzzi Admin Only'!Q:R,2,0),"")</f>
        <v/>
      </c>
    </row>
    <row r="42" spans="1:15" ht="15.75" customHeight="1" x14ac:dyDescent="0.25">
      <c r="A42" s="1" t="s">
        <v>172</v>
      </c>
      <c r="B42" s="1" t="s">
        <v>158</v>
      </c>
      <c r="C42" s="1" t="s">
        <v>145</v>
      </c>
      <c r="D42" s="2" t="s">
        <v>173</v>
      </c>
      <c r="E42" s="1" t="s">
        <v>174</v>
      </c>
      <c r="F42" s="1" t="s">
        <v>141</v>
      </c>
      <c r="G42" s="1" t="s">
        <v>142</v>
      </c>
      <c r="H42" s="1" t="s">
        <v>175</v>
      </c>
      <c r="I42" s="1" t="s">
        <v>16</v>
      </c>
      <c r="J42" s="1" t="s">
        <v>16</v>
      </c>
      <c r="K42" s="4" t="s">
        <v>16</v>
      </c>
      <c r="L42" s="1" t="s">
        <v>23</v>
      </c>
      <c r="M42" s="1" t="s">
        <v>176</v>
      </c>
      <c r="N42" s="5" t="s">
        <v>16</v>
      </c>
      <c r="O42" s="6" t="str">
        <f>IFERROR(VLOOKUP(K42,'2. Buzzi Admin Only'!Q:R,2,0),"")</f>
        <v/>
      </c>
    </row>
    <row r="43" spans="1:15" ht="15.75" customHeight="1" x14ac:dyDescent="0.25">
      <c r="A43" s="1" t="s">
        <v>177</v>
      </c>
      <c r="B43" s="1" t="s">
        <v>16</v>
      </c>
      <c r="C43" s="1" t="s">
        <v>60</v>
      </c>
      <c r="D43" s="2" t="s">
        <v>178</v>
      </c>
      <c r="E43" s="1" t="s">
        <v>179</v>
      </c>
      <c r="F43" s="1" t="s">
        <v>141</v>
      </c>
      <c r="G43" s="1" t="s">
        <v>148</v>
      </c>
      <c r="H43" s="1" t="s">
        <v>180</v>
      </c>
      <c r="I43" s="1" t="s">
        <v>16</v>
      </c>
      <c r="J43" s="1" t="s">
        <v>16</v>
      </c>
      <c r="K43" s="4" t="s">
        <v>16</v>
      </c>
      <c r="L43" s="1" t="s">
        <v>23</v>
      </c>
      <c r="M43" s="1" t="s">
        <v>181</v>
      </c>
      <c r="N43" s="5" t="s">
        <v>16</v>
      </c>
      <c r="O43" s="6" t="str">
        <f>IFERROR(VLOOKUP(K43,'2. Buzzi Admin Only'!Q:R,2,0),"")</f>
        <v/>
      </c>
    </row>
    <row r="44" spans="1:15" ht="15.75" customHeight="1" x14ac:dyDescent="0.25">
      <c r="A44" s="1" t="s">
        <v>182</v>
      </c>
      <c r="B44" s="1" t="s">
        <v>158</v>
      </c>
      <c r="C44" s="1" t="s">
        <v>44</v>
      </c>
      <c r="D44" s="2" t="s">
        <v>183</v>
      </c>
      <c r="E44" s="1" t="s">
        <v>184</v>
      </c>
      <c r="F44" s="1" t="s">
        <v>141</v>
      </c>
      <c r="G44" s="1" t="s">
        <v>142</v>
      </c>
      <c r="H44" s="1" t="s">
        <v>16</v>
      </c>
      <c r="I44" s="1" t="s">
        <v>16</v>
      </c>
      <c r="J44" s="1" t="s">
        <v>16</v>
      </c>
      <c r="K44" s="4" t="s">
        <v>16</v>
      </c>
      <c r="L44" s="1" t="s">
        <v>23</v>
      </c>
      <c r="M44" s="1" t="s">
        <v>185</v>
      </c>
      <c r="N44" s="5" t="s">
        <v>16</v>
      </c>
      <c r="O44" s="6" t="str">
        <f>IFERROR(VLOOKUP(K44,'2. Buzzi Admin Only'!Q:R,2,0),"")</f>
        <v/>
      </c>
    </row>
    <row r="45" spans="1:15" ht="15.75" customHeight="1" x14ac:dyDescent="0.25">
      <c r="A45" s="1" t="s">
        <v>186</v>
      </c>
      <c r="B45" s="1" t="s">
        <v>16</v>
      </c>
      <c r="C45" s="1" t="s">
        <v>16</v>
      </c>
      <c r="D45" s="2" t="s">
        <v>16</v>
      </c>
      <c r="E45" s="1" t="s">
        <v>16</v>
      </c>
      <c r="F45" s="1" t="s">
        <v>130</v>
      </c>
      <c r="G45" s="1" t="s">
        <v>16</v>
      </c>
      <c r="H45" s="1" t="s">
        <v>16</v>
      </c>
      <c r="I45" s="1" t="s">
        <v>16</v>
      </c>
      <c r="J45" s="1" t="s">
        <v>16</v>
      </c>
      <c r="K45" s="4" t="s">
        <v>16</v>
      </c>
      <c r="L45" s="1" t="s">
        <v>23</v>
      </c>
      <c r="M45" s="1" t="s">
        <v>16</v>
      </c>
      <c r="N45" s="5" t="s">
        <v>16</v>
      </c>
      <c r="O45" s="6" t="str">
        <f>IFERROR(VLOOKUP(K45,'2. Buzzi Admin Only'!Q:R,2,0),"")</f>
        <v/>
      </c>
    </row>
    <row r="46" spans="1:15" ht="15.75" customHeight="1" x14ac:dyDescent="0.25">
      <c r="A46" s="1" t="s">
        <v>187</v>
      </c>
      <c r="B46" s="1" t="s">
        <v>16</v>
      </c>
      <c r="C46" s="1" t="s">
        <v>16</v>
      </c>
      <c r="D46" s="2" t="s">
        <v>16</v>
      </c>
      <c r="E46" s="1" t="s">
        <v>188</v>
      </c>
      <c r="F46" s="1" t="s">
        <v>141</v>
      </c>
      <c r="G46" s="1" t="s">
        <v>152</v>
      </c>
      <c r="H46" s="1" t="s">
        <v>189</v>
      </c>
      <c r="I46" s="1" t="s">
        <v>16</v>
      </c>
      <c r="J46" s="1" t="s">
        <v>16</v>
      </c>
      <c r="K46" s="4" t="s">
        <v>16</v>
      </c>
      <c r="L46" s="1" t="s">
        <v>23</v>
      </c>
      <c r="M46" s="1" t="s">
        <v>16</v>
      </c>
      <c r="N46" s="5" t="s">
        <v>16</v>
      </c>
      <c r="O46" s="6" t="str">
        <f>IFERROR(VLOOKUP(K46,'2. Buzzi Admin Only'!Q:R,2,0),"")</f>
        <v/>
      </c>
    </row>
    <row r="47" spans="1:15" ht="15.75" customHeight="1" x14ac:dyDescent="0.25">
      <c r="A47" s="1" t="s">
        <v>190</v>
      </c>
      <c r="B47" s="1" t="s">
        <v>16</v>
      </c>
      <c r="C47" s="1" t="s">
        <v>16</v>
      </c>
      <c r="D47" s="2" t="s">
        <v>16</v>
      </c>
      <c r="E47" s="1" t="s">
        <v>16</v>
      </c>
      <c r="F47" s="1" t="s">
        <v>16</v>
      </c>
      <c r="G47" s="1" t="s">
        <v>16</v>
      </c>
      <c r="H47" s="1" t="s">
        <v>16</v>
      </c>
      <c r="I47" s="1" t="s">
        <v>16</v>
      </c>
      <c r="J47" s="1" t="s">
        <v>16</v>
      </c>
      <c r="K47" s="4" t="s">
        <v>16</v>
      </c>
      <c r="L47" s="1" t="s">
        <v>16</v>
      </c>
      <c r="M47" s="1" t="s">
        <v>16</v>
      </c>
      <c r="N47" s="5" t="s">
        <v>16</v>
      </c>
      <c r="O47" s="6" t="str">
        <f>IFERROR(VLOOKUP(K47,'2. Buzzi Admin Only'!Q:R,2,0),"")</f>
        <v/>
      </c>
    </row>
    <row r="48" spans="1:15" ht="15.75" customHeight="1" x14ac:dyDescent="0.25">
      <c r="A48" s="1" t="s">
        <v>191</v>
      </c>
      <c r="B48" s="1" t="s">
        <v>16</v>
      </c>
      <c r="C48" s="1" t="s">
        <v>145</v>
      </c>
      <c r="D48" s="2" t="s">
        <v>192</v>
      </c>
      <c r="E48" s="1" t="s">
        <v>193</v>
      </c>
      <c r="F48" s="1" t="s">
        <v>141</v>
      </c>
      <c r="G48" s="1" t="s">
        <v>194</v>
      </c>
      <c r="H48" s="1" t="s">
        <v>16</v>
      </c>
      <c r="I48" s="1" t="s">
        <v>16</v>
      </c>
      <c r="J48" s="1" t="s">
        <v>16</v>
      </c>
      <c r="K48" s="4" t="s">
        <v>16</v>
      </c>
      <c r="L48" s="1" t="s">
        <v>195</v>
      </c>
      <c r="M48" s="1" t="s">
        <v>196</v>
      </c>
      <c r="N48" s="5" t="s">
        <v>16</v>
      </c>
      <c r="O48" s="6" t="str">
        <f>IFERROR(VLOOKUP(K48,'2. Buzzi Admin Only'!Q:R,2,0),"")</f>
        <v/>
      </c>
    </row>
    <row r="49" spans="1:15" ht="15.75" customHeight="1" x14ac:dyDescent="0.25">
      <c r="A49" s="1" t="s">
        <v>197</v>
      </c>
      <c r="B49" s="1" t="s">
        <v>16</v>
      </c>
      <c r="C49" s="1" t="s">
        <v>16</v>
      </c>
      <c r="D49" s="2" t="s">
        <v>16</v>
      </c>
      <c r="E49" s="1" t="s">
        <v>198</v>
      </c>
      <c r="F49" s="1" t="s">
        <v>16</v>
      </c>
      <c r="G49" s="1" t="s">
        <v>16</v>
      </c>
      <c r="H49" s="1" t="s">
        <v>16</v>
      </c>
      <c r="I49" s="1" t="s">
        <v>16</v>
      </c>
      <c r="J49" s="1" t="s">
        <v>199</v>
      </c>
      <c r="K49" s="4" t="s">
        <v>16</v>
      </c>
      <c r="L49" s="1" t="s">
        <v>71</v>
      </c>
      <c r="M49" s="1" t="s">
        <v>200</v>
      </c>
      <c r="N49" s="5" t="s">
        <v>16</v>
      </c>
      <c r="O49" s="6" t="str">
        <f>IFERROR(VLOOKUP(K49,'2. Buzzi Admin Only'!Q:R,2,0),"")</f>
        <v/>
      </c>
    </row>
    <row r="50" spans="1:15" ht="15.75" customHeight="1" x14ac:dyDescent="0.25">
      <c r="A50" s="1" t="s">
        <v>201</v>
      </c>
      <c r="B50" s="1" t="s">
        <v>16</v>
      </c>
      <c r="C50" s="1" t="s">
        <v>60</v>
      </c>
      <c r="D50" s="2" t="s">
        <v>202</v>
      </c>
      <c r="E50" s="1" t="s">
        <v>203</v>
      </c>
      <c r="F50" s="1" t="s">
        <v>130</v>
      </c>
      <c r="G50" s="1" t="s">
        <v>21</v>
      </c>
      <c r="H50" s="1" t="s">
        <v>204</v>
      </c>
      <c r="I50" s="1" t="s">
        <v>16</v>
      </c>
      <c r="J50" s="1" t="s">
        <v>16</v>
      </c>
      <c r="K50" s="4" t="s">
        <v>16</v>
      </c>
      <c r="L50" s="1" t="s">
        <v>71</v>
      </c>
      <c r="M50" s="1" t="s">
        <v>150</v>
      </c>
      <c r="N50" s="5" t="s">
        <v>16</v>
      </c>
      <c r="O50" s="6" t="str">
        <f>IFERROR(VLOOKUP(K50,'2. Buzzi Admin Only'!Q:R,2,0),"")</f>
        <v/>
      </c>
    </row>
    <row r="51" spans="1:15" ht="15.75" customHeight="1" x14ac:dyDescent="0.25">
      <c r="A51" s="1" t="s">
        <v>205</v>
      </c>
      <c r="B51" s="1" t="s">
        <v>16</v>
      </c>
      <c r="C51" s="1" t="s">
        <v>16</v>
      </c>
      <c r="D51" s="2" t="s">
        <v>16</v>
      </c>
      <c r="E51" s="1" t="s">
        <v>16</v>
      </c>
      <c r="F51" s="1" t="s">
        <v>16</v>
      </c>
      <c r="G51" s="1" t="s">
        <v>16</v>
      </c>
      <c r="H51" s="1" t="s">
        <v>16</v>
      </c>
      <c r="I51" s="1" t="s">
        <v>16</v>
      </c>
      <c r="J51" s="1" t="s">
        <v>16</v>
      </c>
      <c r="K51" s="4" t="s">
        <v>16</v>
      </c>
      <c r="L51" s="1" t="s">
        <v>16</v>
      </c>
      <c r="M51" s="1" t="s">
        <v>16</v>
      </c>
      <c r="N51" s="5" t="s">
        <v>16</v>
      </c>
      <c r="O51" s="6" t="str">
        <f>IFERROR(VLOOKUP(K51,'2. Buzzi Admin Only'!Q:R,2,0),"")</f>
        <v/>
      </c>
    </row>
    <row r="52" spans="1:15" ht="15.75" customHeight="1" x14ac:dyDescent="0.25">
      <c r="A52" s="1" t="s">
        <v>206</v>
      </c>
      <c r="B52" s="1" t="s">
        <v>16</v>
      </c>
      <c r="C52" s="1" t="s">
        <v>16</v>
      </c>
      <c r="D52" s="2" t="s">
        <v>16</v>
      </c>
      <c r="E52" s="1" t="s">
        <v>207</v>
      </c>
      <c r="F52" s="1" t="s">
        <v>20</v>
      </c>
      <c r="G52" s="1" t="s">
        <v>28</v>
      </c>
      <c r="H52" s="1" t="s">
        <v>208</v>
      </c>
      <c r="I52" s="1" t="s">
        <v>16</v>
      </c>
      <c r="J52" s="1" t="s">
        <v>16</v>
      </c>
      <c r="K52" s="4" t="s">
        <v>16</v>
      </c>
      <c r="L52" s="1" t="s">
        <v>23</v>
      </c>
      <c r="M52" s="1" t="s">
        <v>58</v>
      </c>
      <c r="N52" s="5" t="s">
        <v>16</v>
      </c>
      <c r="O52" s="6" t="str">
        <f>IFERROR(VLOOKUP(K52,'2. Buzzi Admin Only'!Q:R,2,0),"")</f>
        <v/>
      </c>
    </row>
    <row r="53" spans="1:15" ht="15.75" customHeight="1" x14ac:dyDescent="0.25">
      <c r="A53" s="1" t="s">
        <v>209</v>
      </c>
      <c r="B53" s="1" t="s">
        <v>16</v>
      </c>
      <c r="C53" s="1" t="s">
        <v>16</v>
      </c>
      <c r="D53" s="2" t="s">
        <v>210</v>
      </c>
      <c r="E53" s="1" t="s">
        <v>19</v>
      </c>
      <c r="F53" s="1" t="s">
        <v>20</v>
      </c>
      <c r="G53" s="1" t="s">
        <v>28</v>
      </c>
      <c r="H53" s="1" t="s">
        <v>16</v>
      </c>
      <c r="I53" s="1" t="s">
        <v>16</v>
      </c>
      <c r="J53" s="1" t="s">
        <v>16</v>
      </c>
      <c r="K53" s="4" t="s">
        <v>16</v>
      </c>
      <c r="L53" s="1" t="s">
        <v>23</v>
      </c>
      <c r="M53" s="1" t="s">
        <v>58</v>
      </c>
      <c r="N53" s="5" t="s">
        <v>16</v>
      </c>
      <c r="O53" s="6" t="str">
        <f>IFERROR(VLOOKUP(K53,'2. Buzzi Admin Only'!Q:R,2,0),"")</f>
        <v/>
      </c>
    </row>
    <row r="54" spans="1:15" ht="15.75" customHeight="1" x14ac:dyDescent="0.25">
      <c r="A54" s="1" t="s">
        <v>211</v>
      </c>
      <c r="B54" s="1" t="s">
        <v>16</v>
      </c>
      <c r="C54" s="1" t="s">
        <v>16</v>
      </c>
      <c r="D54" s="2" t="s">
        <v>16</v>
      </c>
      <c r="E54" s="1" t="s">
        <v>16</v>
      </c>
      <c r="F54" s="1" t="s">
        <v>16</v>
      </c>
      <c r="G54" s="1" t="s">
        <v>16</v>
      </c>
      <c r="H54" s="1" t="s">
        <v>16</v>
      </c>
      <c r="I54" s="1" t="s">
        <v>16</v>
      </c>
      <c r="J54" s="1" t="s">
        <v>16</v>
      </c>
      <c r="K54" s="4" t="s">
        <v>16</v>
      </c>
      <c r="L54" s="1" t="s">
        <v>16</v>
      </c>
      <c r="M54" s="1" t="s">
        <v>16</v>
      </c>
      <c r="N54" s="5" t="s">
        <v>16</v>
      </c>
      <c r="O54" s="6" t="str">
        <f>IFERROR(VLOOKUP(K54,'2. Buzzi Admin Only'!Q:R,2,0),"")</f>
        <v/>
      </c>
    </row>
    <row r="55" spans="1:15" ht="15.75" customHeight="1" x14ac:dyDescent="0.25">
      <c r="A55" s="1" t="s">
        <v>212</v>
      </c>
      <c r="B55" s="1" t="s">
        <v>38</v>
      </c>
      <c r="C55" s="1" t="s">
        <v>16</v>
      </c>
      <c r="D55" s="2" t="s">
        <v>213</v>
      </c>
      <c r="E55" s="1" t="s">
        <v>214</v>
      </c>
      <c r="F55" s="1" t="s">
        <v>20</v>
      </c>
      <c r="G55" s="1" t="s">
        <v>28</v>
      </c>
      <c r="H55" s="1" t="s">
        <v>215</v>
      </c>
      <c r="I55" s="1" t="s">
        <v>16</v>
      </c>
      <c r="J55" s="1" t="s">
        <v>16</v>
      </c>
      <c r="K55" s="4" t="s">
        <v>16</v>
      </c>
      <c r="L55" s="1" t="s">
        <v>23</v>
      </c>
      <c r="M55" s="1" t="s">
        <v>16</v>
      </c>
      <c r="N55" s="5" t="s">
        <v>16</v>
      </c>
      <c r="O55" s="6" t="str">
        <f>IFERROR(VLOOKUP(K55,'2. Buzzi Admin Only'!Q:R,2,0),"")</f>
        <v/>
      </c>
    </row>
    <row r="56" spans="1:15" ht="15.75" customHeight="1" x14ac:dyDescent="0.25">
      <c r="A56" s="1" t="s">
        <v>216</v>
      </c>
      <c r="B56" s="1" t="s">
        <v>16</v>
      </c>
      <c r="C56" s="1" t="s">
        <v>16</v>
      </c>
      <c r="D56" s="2" t="s">
        <v>16</v>
      </c>
      <c r="E56" s="1" t="s">
        <v>16</v>
      </c>
      <c r="F56" s="1" t="s">
        <v>16</v>
      </c>
      <c r="G56" s="1" t="s">
        <v>16</v>
      </c>
      <c r="H56" s="1" t="s">
        <v>16</v>
      </c>
      <c r="I56" s="1" t="s">
        <v>16</v>
      </c>
      <c r="J56" s="1" t="s">
        <v>16</v>
      </c>
      <c r="K56" s="4" t="s">
        <v>16</v>
      </c>
      <c r="L56" s="1" t="s">
        <v>23</v>
      </c>
      <c r="M56" s="1" t="s">
        <v>16</v>
      </c>
      <c r="N56" s="5" t="s">
        <v>16</v>
      </c>
      <c r="O56" s="6" t="str">
        <f>IFERROR(VLOOKUP(K56,'2. Buzzi Admin Only'!Q:R,2,0),"")</f>
        <v/>
      </c>
    </row>
    <row r="57" spans="1:15" ht="15.75" customHeight="1" x14ac:dyDescent="0.25">
      <c r="A57" s="1" t="s">
        <v>217</v>
      </c>
      <c r="B57" s="1" t="s">
        <v>16</v>
      </c>
      <c r="C57" s="1" t="s">
        <v>21</v>
      </c>
      <c r="D57" s="2" t="s">
        <v>218</v>
      </c>
      <c r="E57" s="1" t="s">
        <v>219</v>
      </c>
      <c r="F57" s="1" t="s">
        <v>141</v>
      </c>
      <c r="G57" s="1" t="s">
        <v>142</v>
      </c>
      <c r="H57" s="1" t="s">
        <v>16</v>
      </c>
      <c r="I57" s="1" t="s">
        <v>16</v>
      </c>
      <c r="J57" s="1" t="s">
        <v>16</v>
      </c>
      <c r="K57" s="4" t="s">
        <v>16</v>
      </c>
      <c r="L57" s="1" t="s">
        <v>23</v>
      </c>
      <c r="M57" s="1" t="s">
        <v>220</v>
      </c>
      <c r="N57" s="5" t="s">
        <v>16</v>
      </c>
      <c r="O57" s="6" t="str">
        <f>IFERROR(VLOOKUP(K57,'2. Buzzi Admin Only'!Q:R,2,0),"")</f>
        <v/>
      </c>
    </row>
    <row r="58" spans="1:15" ht="15.75" customHeight="1" x14ac:dyDescent="0.25">
      <c r="A58" s="1" t="s">
        <v>221</v>
      </c>
      <c r="B58" s="1" t="s">
        <v>16</v>
      </c>
      <c r="C58" s="1" t="s">
        <v>16</v>
      </c>
      <c r="D58" s="2" t="s">
        <v>222</v>
      </c>
      <c r="E58" s="1" t="s">
        <v>19</v>
      </c>
      <c r="F58" s="1" t="s">
        <v>20</v>
      </c>
      <c r="G58" s="1" t="s">
        <v>28</v>
      </c>
      <c r="H58" s="1" t="s">
        <v>223</v>
      </c>
      <c r="I58" s="1" t="s">
        <v>16</v>
      </c>
      <c r="J58" s="1" t="s">
        <v>16</v>
      </c>
      <c r="K58" s="4" t="s">
        <v>16</v>
      </c>
      <c r="L58" s="1" t="s">
        <v>23</v>
      </c>
      <c r="M58" s="1" t="s">
        <v>58</v>
      </c>
      <c r="N58" s="5" t="s">
        <v>16</v>
      </c>
      <c r="O58" s="6" t="str">
        <f>IFERROR(VLOOKUP(K58,'2. Buzzi Admin Only'!Q:R,2,0),"")</f>
        <v/>
      </c>
    </row>
    <row r="59" spans="1:15" ht="15.75" customHeight="1" x14ac:dyDescent="0.25">
      <c r="A59" s="1" t="s">
        <v>224</v>
      </c>
      <c r="B59" s="1" t="s">
        <v>158</v>
      </c>
      <c r="C59" s="1" t="s">
        <v>225</v>
      </c>
      <c r="D59" s="2" t="s">
        <v>226</v>
      </c>
      <c r="E59" s="1" t="s">
        <v>19</v>
      </c>
      <c r="F59" s="1" t="s">
        <v>20</v>
      </c>
      <c r="G59" s="1" t="s">
        <v>28</v>
      </c>
      <c r="H59" s="1" t="s">
        <v>227</v>
      </c>
      <c r="I59" s="1" t="s">
        <v>16</v>
      </c>
      <c r="J59" s="1" t="s">
        <v>16</v>
      </c>
      <c r="K59" s="4" t="s">
        <v>16</v>
      </c>
      <c r="L59" s="1" t="s">
        <v>23</v>
      </c>
      <c r="M59" s="1" t="s">
        <v>58</v>
      </c>
      <c r="N59" s="5" t="s">
        <v>16</v>
      </c>
      <c r="O59" s="6" t="str">
        <f>IFERROR(VLOOKUP(K59,'2. Buzzi Admin Only'!Q:R,2,0),"")</f>
        <v/>
      </c>
    </row>
    <row r="60" spans="1:15" ht="15.75" customHeight="1" x14ac:dyDescent="0.25">
      <c r="A60" s="1" t="s">
        <v>228</v>
      </c>
      <c r="B60" s="1" t="s">
        <v>158</v>
      </c>
      <c r="C60" s="1" t="s">
        <v>16</v>
      </c>
      <c r="D60" s="2" t="s">
        <v>229</v>
      </c>
      <c r="E60" s="1" t="s">
        <v>19</v>
      </c>
      <c r="F60" s="1" t="s">
        <v>20</v>
      </c>
      <c r="G60" s="1" t="s">
        <v>28</v>
      </c>
      <c r="H60" s="1" t="s">
        <v>230</v>
      </c>
      <c r="I60" s="1" t="s">
        <v>16</v>
      </c>
      <c r="J60" s="1" t="s">
        <v>16</v>
      </c>
      <c r="K60" s="4" t="s">
        <v>16</v>
      </c>
      <c r="L60" s="1" t="s">
        <v>23</v>
      </c>
      <c r="M60" s="1" t="s">
        <v>16</v>
      </c>
      <c r="N60" s="5" t="s">
        <v>16</v>
      </c>
      <c r="O60" s="6" t="str">
        <f>IFERROR(VLOOKUP(K60,'2. Buzzi Admin Only'!Q:R,2,0),"")</f>
        <v/>
      </c>
    </row>
    <row r="61" spans="1:15" ht="15.75" customHeight="1" x14ac:dyDescent="0.25">
      <c r="A61" s="1" t="s">
        <v>231</v>
      </c>
      <c r="B61" s="1" t="s">
        <v>16</v>
      </c>
      <c r="C61" s="1" t="s">
        <v>16</v>
      </c>
      <c r="D61" s="2" t="s">
        <v>16</v>
      </c>
      <c r="E61" s="1" t="s">
        <v>16</v>
      </c>
      <c r="F61" s="1" t="s">
        <v>16</v>
      </c>
      <c r="G61" s="1" t="s">
        <v>16</v>
      </c>
      <c r="H61" s="1" t="s">
        <v>16</v>
      </c>
      <c r="I61" s="1" t="s">
        <v>16</v>
      </c>
      <c r="J61" s="1" t="s">
        <v>16</v>
      </c>
      <c r="K61" s="4" t="s">
        <v>16</v>
      </c>
      <c r="L61" s="1" t="s">
        <v>16</v>
      </c>
      <c r="M61" s="1" t="s">
        <v>16</v>
      </c>
      <c r="N61" s="5" t="s">
        <v>16</v>
      </c>
      <c r="O61" s="6" t="str">
        <f>IFERROR(VLOOKUP(K61,'2. Buzzi Admin Only'!Q:R,2,0),"")</f>
        <v/>
      </c>
    </row>
    <row r="62" spans="1:15" ht="15.75" customHeight="1" x14ac:dyDescent="0.25">
      <c r="A62" s="1" t="s">
        <v>232</v>
      </c>
      <c r="B62" s="1" t="s">
        <v>16</v>
      </c>
      <c r="C62" s="1" t="s">
        <v>16</v>
      </c>
      <c r="D62" s="2" t="s">
        <v>16</v>
      </c>
      <c r="E62" s="1" t="s">
        <v>16</v>
      </c>
      <c r="F62" s="1" t="s">
        <v>16</v>
      </c>
      <c r="G62" s="1" t="s">
        <v>16</v>
      </c>
      <c r="H62" s="1" t="s">
        <v>16</v>
      </c>
      <c r="I62" s="1" t="s">
        <v>16</v>
      </c>
      <c r="J62" s="1" t="s">
        <v>16</v>
      </c>
      <c r="K62" s="4" t="s">
        <v>16</v>
      </c>
      <c r="L62" s="1" t="s">
        <v>16</v>
      </c>
      <c r="M62" s="1" t="s">
        <v>16</v>
      </c>
      <c r="N62" s="5" t="s">
        <v>16</v>
      </c>
      <c r="O62" s="6" t="str">
        <f>IFERROR(VLOOKUP(K62,'2. Buzzi Admin Only'!Q:R,2,0),"")</f>
        <v/>
      </c>
    </row>
    <row r="63" spans="1:15" ht="15.75" customHeight="1" x14ac:dyDescent="0.25">
      <c r="A63" s="1" t="s">
        <v>233</v>
      </c>
      <c r="B63" s="1" t="s">
        <v>16</v>
      </c>
      <c r="C63" s="1" t="s">
        <v>16</v>
      </c>
      <c r="D63" s="2" t="s">
        <v>16</v>
      </c>
      <c r="E63" s="1" t="s">
        <v>16</v>
      </c>
      <c r="F63" s="1" t="s">
        <v>16</v>
      </c>
      <c r="G63" s="1" t="s">
        <v>16</v>
      </c>
      <c r="H63" s="1" t="s">
        <v>16</v>
      </c>
      <c r="I63" s="1" t="s">
        <v>16</v>
      </c>
      <c r="J63" s="1" t="s">
        <v>16</v>
      </c>
      <c r="K63" s="4" t="s">
        <v>16</v>
      </c>
      <c r="L63" s="1" t="s">
        <v>16</v>
      </c>
      <c r="M63" s="1" t="s">
        <v>16</v>
      </c>
      <c r="N63" s="5" t="s">
        <v>16</v>
      </c>
      <c r="O63" s="6" t="str">
        <f>IFERROR(VLOOKUP(K63,'2. Buzzi Admin Only'!Q:R,2,0),"")</f>
        <v/>
      </c>
    </row>
    <row r="64" spans="1:15" ht="15.75" customHeight="1" x14ac:dyDescent="0.25">
      <c r="A64" s="1" t="s">
        <v>234</v>
      </c>
      <c r="B64" s="1" t="s">
        <v>16</v>
      </c>
      <c r="C64" s="1" t="s">
        <v>16</v>
      </c>
      <c r="D64" s="2" t="s">
        <v>16</v>
      </c>
      <c r="E64" s="1" t="s">
        <v>16</v>
      </c>
      <c r="F64" s="1" t="s">
        <v>16</v>
      </c>
      <c r="G64" s="1" t="s">
        <v>16</v>
      </c>
      <c r="H64" s="1" t="s">
        <v>16</v>
      </c>
      <c r="I64" s="1" t="s">
        <v>16</v>
      </c>
      <c r="J64" s="1" t="s">
        <v>16</v>
      </c>
      <c r="K64" s="4" t="s">
        <v>16</v>
      </c>
      <c r="L64" s="1" t="s">
        <v>16</v>
      </c>
      <c r="M64" s="1" t="s">
        <v>16</v>
      </c>
      <c r="N64" s="5" t="s">
        <v>16</v>
      </c>
      <c r="O64" s="6" t="str">
        <f>IFERROR(VLOOKUP(K64,'2. Buzzi Admin Only'!Q:R,2,0),"")</f>
        <v/>
      </c>
    </row>
    <row r="65" spans="1:15" ht="15.75" customHeight="1" x14ac:dyDescent="0.25">
      <c r="A65" s="1" t="s">
        <v>235</v>
      </c>
      <c r="B65" s="1" t="s">
        <v>38</v>
      </c>
      <c r="C65" s="1" t="s">
        <v>60</v>
      </c>
      <c r="D65" s="2" t="s">
        <v>236</v>
      </c>
      <c r="E65" s="1" t="s">
        <v>19</v>
      </c>
      <c r="F65" s="1" t="s">
        <v>20</v>
      </c>
      <c r="G65" s="1" t="s">
        <v>21</v>
      </c>
      <c r="H65" s="1" t="s">
        <v>237</v>
      </c>
      <c r="I65" s="1" t="s">
        <v>16</v>
      </c>
      <c r="J65" s="1" t="s">
        <v>16</v>
      </c>
      <c r="K65" s="4" t="s">
        <v>16</v>
      </c>
      <c r="L65" s="1" t="s">
        <v>23</v>
      </c>
      <c r="M65" s="1" t="s">
        <v>58</v>
      </c>
      <c r="N65" s="5" t="s">
        <v>16</v>
      </c>
      <c r="O65" s="6" t="str">
        <f>IFERROR(VLOOKUP(K65,'2. Buzzi Admin Only'!Q:R,2,0),"")</f>
        <v/>
      </c>
    </row>
    <row r="66" spans="1:15" ht="15.75" customHeight="1" x14ac:dyDescent="0.25">
      <c r="A66" s="1" t="s">
        <v>238</v>
      </c>
      <c r="B66" s="1" t="s">
        <v>16</v>
      </c>
      <c r="C66" s="1" t="s">
        <v>16</v>
      </c>
      <c r="D66" s="2" t="s">
        <v>16</v>
      </c>
      <c r="E66" s="1" t="s">
        <v>40</v>
      </c>
      <c r="F66" s="1" t="s">
        <v>20</v>
      </c>
      <c r="G66" s="1" t="s">
        <v>28</v>
      </c>
      <c r="H66" s="1" t="s">
        <v>16</v>
      </c>
      <c r="I66" s="1" t="s">
        <v>16</v>
      </c>
      <c r="J66" s="1" t="s">
        <v>16</v>
      </c>
      <c r="K66" s="4" t="s">
        <v>16</v>
      </c>
      <c r="L66" s="1" t="s">
        <v>23</v>
      </c>
      <c r="M66" s="1" t="s">
        <v>16</v>
      </c>
      <c r="N66" s="5" t="s">
        <v>16</v>
      </c>
      <c r="O66" s="6" t="str">
        <f>IFERROR(VLOOKUP(K66,'2. Buzzi Admin Only'!Q:R,2,0),"")</f>
        <v/>
      </c>
    </row>
    <row r="67" spans="1:15" ht="15.75" customHeight="1" x14ac:dyDescent="0.25">
      <c r="A67" s="1" t="s">
        <v>239</v>
      </c>
      <c r="B67" s="1" t="s">
        <v>16</v>
      </c>
      <c r="C67" s="1" t="s">
        <v>16</v>
      </c>
      <c r="D67" s="2" t="s">
        <v>16</v>
      </c>
      <c r="E67" s="1" t="s">
        <v>19</v>
      </c>
      <c r="F67" s="1" t="s">
        <v>20</v>
      </c>
      <c r="G67" s="1" t="s">
        <v>28</v>
      </c>
      <c r="H67" s="1" t="s">
        <v>240</v>
      </c>
      <c r="I67" s="1" t="s">
        <v>16</v>
      </c>
      <c r="J67" s="1" t="s">
        <v>16</v>
      </c>
      <c r="K67" s="4" t="s">
        <v>16</v>
      </c>
      <c r="L67" s="1" t="s">
        <v>23</v>
      </c>
      <c r="M67" s="1" t="s">
        <v>16</v>
      </c>
      <c r="N67" s="5" t="s">
        <v>16</v>
      </c>
      <c r="O67" s="6" t="str">
        <f>IFERROR(VLOOKUP(K67,'2. Buzzi Admin Only'!Q:R,2,0),"")</f>
        <v/>
      </c>
    </row>
    <row r="68" spans="1:15" ht="15.75" customHeight="1" x14ac:dyDescent="0.25">
      <c r="A68" s="1" t="s">
        <v>241</v>
      </c>
      <c r="B68" s="1" t="s">
        <v>38</v>
      </c>
      <c r="C68" s="1" t="s">
        <v>16</v>
      </c>
      <c r="D68" s="2" t="s">
        <v>242</v>
      </c>
      <c r="E68" s="1" t="s">
        <v>243</v>
      </c>
      <c r="F68" s="1" t="s">
        <v>20</v>
      </c>
      <c r="G68" s="1" t="s">
        <v>44</v>
      </c>
      <c r="H68" s="1" t="s">
        <v>244</v>
      </c>
      <c r="I68" s="1" t="s">
        <v>16</v>
      </c>
      <c r="J68" s="1" t="s">
        <v>16</v>
      </c>
      <c r="K68" s="4" t="s">
        <v>16</v>
      </c>
      <c r="L68" s="1" t="s">
        <v>23</v>
      </c>
      <c r="M68" s="1" t="s">
        <v>58</v>
      </c>
      <c r="N68" s="5" t="s">
        <v>16</v>
      </c>
      <c r="O68" s="6" t="str">
        <f>IFERROR(VLOOKUP(K68,'2. Buzzi Admin Only'!Q:R,2,0),"")</f>
        <v/>
      </c>
    </row>
    <row r="69" spans="1:15" ht="15.75" customHeight="1" x14ac:dyDescent="0.25">
      <c r="A69" s="1" t="s">
        <v>245</v>
      </c>
      <c r="B69" s="1" t="s">
        <v>16</v>
      </c>
      <c r="C69" s="1" t="s">
        <v>16</v>
      </c>
      <c r="D69" s="2" t="s">
        <v>246</v>
      </c>
      <c r="E69" s="1" t="s">
        <v>247</v>
      </c>
      <c r="F69" s="1" t="s">
        <v>20</v>
      </c>
      <c r="G69" s="1" t="s">
        <v>28</v>
      </c>
      <c r="H69" s="1" t="s">
        <v>248</v>
      </c>
      <c r="I69" s="1" t="s">
        <v>16</v>
      </c>
      <c r="J69" s="1" t="s">
        <v>16</v>
      </c>
      <c r="K69" s="4" t="s">
        <v>16</v>
      </c>
      <c r="L69" s="1" t="s">
        <v>23</v>
      </c>
      <c r="M69" s="1" t="s">
        <v>58</v>
      </c>
      <c r="N69" s="5" t="s">
        <v>16</v>
      </c>
      <c r="O69" s="6" t="str">
        <f>IFERROR(VLOOKUP(K69,'2. Buzzi Admin Only'!Q:R,2,0),"")</f>
        <v/>
      </c>
    </row>
    <row r="70" spans="1:15" ht="15.75" customHeight="1" x14ac:dyDescent="0.25">
      <c r="A70" s="1" t="s">
        <v>249</v>
      </c>
      <c r="B70" s="1" t="s">
        <v>16</v>
      </c>
      <c r="C70" s="1" t="s">
        <v>60</v>
      </c>
      <c r="D70" s="2" t="s">
        <v>250</v>
      </c>
      <c r="E70" s="1" t="s">
        <v>251</v>
      </c>
      <c r="F70" s="1" t="s">
        <v>20</v>
      </c>
      <c r="G70" s="1" t="s">
        <v>21</v>
      </c>
      <c r="H70" s="1" t="s">
        <v>252</v>
      </c>
      <c r="I70" s="1" t="s">
        <v>16</v>
      </c>
      <c r="J70" s="1" t="s">
        <v>16</v>
      </c>
      <c r="K70" s="4" t="s">
        <v>16</v>
      </c>
      <c r="L70" s="1" t="s">
        <v>23</v>
      </c>
      <c r="M70" s="1" t="s">
        <v>58</v>
      </c>
      <c r="N70" s="5" t="s">
        <v>16</v>
      </c>
      <c r="O70" s="6" t="str">
        <f>IFERROR(VLOOKUP(K70,'2. Buzzi Admin Only'!Q:R,2,0),"")</f>
        <v/>
      </c>
    </row>
    <row r="71" spans="1:15" ht="15.75" customHeight="1" x14ac:dyDescent="0.25">
      <c r="A71" s="1" t="s">
        <v>253</v>
      </c>
      <c r="B71" s="1" t="s">
        <v>16</v>
      </c>
      <c r="C71" s="1" t="s">
        <v>16</v>
      </c>
      <c r="D71" s="2" t="s">
        <v>16</v>
      </c>
      <c r="E71" s="1" t="s">
        <v>16</v>
      </c>
      <c r="F71" s="1" t="s">
        <v>16</v>
      </c>
      <c r="G71" s="1" t="s">
        <v>16</v>
      </c>
      <c r="H71" s="1" t="s">
        <v>16</v>
      </c>
      <c r="I71" s="1" t="s">
        <v>16</v>
      </c>
      <c r="J71" s="1" t="s">
        <v>16</v>
      </c>
      <c r="K71" s="4" t="s">
        <v>16</v>
      </c>
      <c r="L71" s="1" t="s">
        <v>16</v>
      </c>
      <c r="M71" s="1" t="s">
        <v>16</v>
      </c>
      <c r="N71" s="5" t="s">
        <v>16</v>
      </c>
      <c r="O71" s="6" t="str">
        <f>IFERROR(VLOOKUP(K71,'2. Buzzi Admin Only'!Q:R,2,0),"")</f>
        <v/>
      </c>
    </row>
    <row r="72" spans="1:15" ht="15.75" customHeight="1" x14ac:dyDescent="0.25">
      <c r="A72" s="1" t="s">
        <v>254</v>
      </c>
      <c r="B72" s="1" t="s">
        <v>138</v>
      </c>
      <c r="C72" s="1" t="s">
        <v>60</v>
      </c>
      <c r="D72" s="2" t="s">
        <v>255</v>
      </c>
      <c r="E72" s="1" t="s">
        <v>256</v>
      </c>
      <c r="F72" s="1" t="s">
        <v>20</v>
      </c>
      <c r="G72" s="1" t="s">
        <v>21</v>
      </c>
      <c r="H72" s="1" t="s">
        <v>257</v>
      </c>
      <c r="I72" s="1" t="s">
        <v>16</v>
      </c>
      <c r="J72" s="1" t="s">
        <v>16</v>
      </c>
      <c r="K72" s="4" t="s">
        <v>16</v>
      </c>
      <c r="L72" s="1" t="s">
        <v>23</v>
      </c>
      <c r="M72" s="1" t="s">
        <v>58</v>
      </c>
      <c r="N72" s="5" t="s">
        <v>16</v>
      </c>
      <c r="O72" s="6" t="str">
        <f>IFERROR(VLOOKUP(K72,'2. Buzzi Admin Only'!Q:R,2,0),"")</f>
        <v/>
      </c>
    </row>
    <row r="73" spans="1:15" ht="15.75" customHeight="1" x14ac:dyDescent="0.25">
      <c r="A73" s="1" t="s">
        <v>258</v>
      </c>
      <c r="B73" s="1" t="s">
        <v>16</v>
      </c>
      <c r="C73" s="1" t="s">
        <v>16</v>
      </c>
      <c r="D73" s="2" t="s">
        <v>16</v>
      </c>
      <c r="E73" s="1" t="s">
        <v>16</v>
      </c>
      <c r="F73" s="1" t="s">
        <v>141</v>
      </c>
      <c r="G73" s="1" t="s">
        <v>142</v>
      </c>
      <c r="H73" s="1" t="s">
        <v>16</v>
      </c>
      <c r="I73" s="1" t="s">
        <v>16</v>
      </c>
      <c r="J73" s="1" t="s">
        <v>16</v>
      </c>
      <c r="K73" s="4" t="s">
        <v>16</v>
      </c>
      <c r="L73" s="1" t="s">
        <v>23</v>
      </c>
      <c r="M73" s="1" t="s">
        <v>16</v>
      </c>
      <c r="N73" s="5" t="s">
        <v>16</v>
      </c>
      <c r="O73" s="6" t="str">
        <f>IFERROR(VLOOKUP(K73,'2. Buzzi Admin Only'!Q:R,2,0),"")</f>
        <v/>
      </c>
    </row>
    <row r="74" spans="1:15" ht="15.75" customHeight="1" x14ac:dyDescent="0.25">
      <c r="A74" s="1" t="s">
        <v>259</v>
      </c>
      <c r="B74" s="1" t="s">
        <v>16</v>
      </c>
      <c r="C74" s="1" t="s">
        <v>16</v>
      </c>
      <c r="D74" s="2" t="s">
        <v>16</v>
      </c>
      <c r="E74" s="1" t="s">
        <v>16</v>
      </c>
      <c r="F74" s="1" t="s">
        <v>16</v>
      </c>
      <c r="G74" s="1" t="s">
        <v>16</v>
      </c>
      <c r="H74" s="1" t="s">
        <v>16</v>
      </c>
      <c r="I74" s="1" t="s">
        <v>16</v>
      </c>
      <c r="J74" s="1" t="s">
        <v>16</v>
      </c>
      <c r="K74" s="4" t="s">
        <v>16</v>
      </c>
      <c r="L74" s="1" t="s">
        <v>16</v>
      </c>
      <c r="M74" s="1" t="s">
        <v>16</v>
      </c>
      <c r="N74" s="5" t="s">
        <v>16</v>
      </c>
      <c r="O74" s="6" t="str">
        <f>IFERROR(VLOOKUP(K74,'2. Buzzi Admin Only'!Q:R,2,0),"")</f>
        <v/>
      </c>
    </row>
    <row r="75" spans="1:15" ht="15.75" customHeight="1" x14ac:dyDescent="0.25">
      <c r="A75" s="1" t="s">
        <v>260</v>
      </c>
      <c r="B75" s="1" t="s">
        <v>16</v>
      </c>
      <c r="C75" s="1" t="s">
        <v>16</v>
      </c>
      <c r="D75" s="2" t="s">
        <v>16</v>
      </c>
      <c r="E75" s="1" t="s">
        <v>16</v>
      </c>
      <c r="F75" s="1" t="s">
        <v>16</v>
      </c>
      <c r="G75" s="1" t="s">
        <v>16</v>
      </c>
      <c r="H75" s="1" t="s">
        <v>16</v>
      </c>
      <c r="I75" s="1" t="s">
        <v>16</v>
      </c>
      <c r="J75" s="1" t="s">
        <v>16</v>
      </c>
      <c r="K75" s="4" t="s">
        <v>16</v>
      </c>
      <c r="L75" s="1" t="s">
        <v>16</v>
      </c>
      <c r="M75" s="1" t="s">
        <v>16</v>
      </c>
      <c r="N75" s="5" t="s">
        <v>16</v>
      </c>
      <c r="O75" s="6" t="str">
        <f>IFERROR(VLOOKUP(K75,'2. Buzzi Admin Only'!Q:R,2,0),"")</f>
        <v/>
      </c>
    </row>
    <row r="76" spans="1:15" ht="15.75" customHeight="1" x14ac:dyDescent="0.25">
      <c r="A76" s="1" t="s">
        <v>261</v>
      </c>
      <c r="B76" s="1" t="s">
        <v>16</v>
      </c>
      <c r="C76" s="1" t="s">
        <v>262</v>
      </c>
      <c r="D76" s="2" t="s">
        <v>218</v>
      </c>
      <c r="E76" s="1" t="s">
        <v>19</v>
      </c>
      <c r="F76" s="1" t="s">
        <v>20</v>
      </c>
      <c r="G76" s="1" t="s">
        <v>28</v>
      </c>
      <c r="H76" s="1" t="s">
        <v>263</v>
      </c>
      <c r="I76" s="1" t="s">
        <v>16</v>
      </c>
      <c r="J76" s="1" t="s">
        <v>16</v>
      </c>
      <c r="K76" s="4" t="s">
        <v>16</v>
      </c>
      <c r="L76" s="1" t="s">
        <v>23</v>
      </c>
      <c r="M76" s="1" t="s">
        <v>58</v>
      </c>
      <c r="N76" s="5" t="s">
        <v>16</v>
      </c>
      <c r="O76" s="6" t="str">
        <f>IFERROR(VLOOKUP(K76,'2. Buzzi Admin Only'!Q:R,2,0),"")</f>
        <v/>
      </c>
    </row>
    <row r="77" spans="1:15" ht="15.75" customHeight="1" x14ac:dyDescent="0.25">
      <c r="A77" s="1" t="s">
        <v>264</v>
      </c>
      <c r="B77" s="1" t="s">
        <v>16</v>
      </c>
      <c r="C77" s="1" t="s">
        <v>16</v>
      </c>
      <c r="D77" s="2" t="s">
        <v>16</v>
      </c>
      <c r="E77" s="1" t="s">
        <v>16</v>
      </c>
      <c r="F77" s="1" t="s">
        <v>16</v>
      </c>
      <c r="G77" s="1" t="s">
        <v>16</v>
      </c>
      <c r="H77" s="1" t="s">
        <v>16</v>
      </c>
      <c r="I77" s="1" t="s">
        <v>16</v>
      </c>
      <c r="J77" s="1" t="s">
        <v>16</v>
      </c>
      <c r="K77" s="4" t="s">
        <v>16</v>
      </c>
      <c r="L77" s="1" t="s">
        <v>16</v>
      </c>
      <c r="M77" s="1" t="s">
        <v>16</v>
      </c>
      <c r="N77" s="5" t="s">
        <v>16</v>
      </c>
      <c r="O77" s="6" t="str">
        <f>IFERROR(VLOOKUP(K77,'2. Buzzi Admin Only'!Q:R,2,0),"")</f>
        <v/>
      </c>
    </row>
    <row r="78" spans="1:15" ht="15.75" customHeight="1" x14ac:dyDescent="0.25">
      <c r="A78" s="1" t="s">
        <v>265</v>
      </c>
      <c r="B78" s="1" t="s">
        <v>138</v>
      </c>
      <c r="C78" s="1" t="s">
        <v>60</v>
      </c>
      <c r="D78" s="2" t="s">
        <v>266</v>
      </c>
      <c r="E78" s="1" t="s">
        <v>19</v>
      </c>
      <c r="F78" s="1" t="s">
        <v>20</v>
      </c>
      <c r="G78" s="1" t="s">
        <v>28</v>
      </c>
      <c r="H78" s="1" t="s">
        <v>267</v>
      </c>
      <c r="I78" s="1" t="s">
        <v>16</v>
      </c>
      <c r="J78" s="1" t="s">
        <v>16</v>
      </c>
      <c r="K78" s="4" t="s">
        <v>16</v>
      </c>
      <c r="L78" s="1" t="s">
        <v>23</v>
      </c>
      <c r="M78" s="1" t="s">
        <v>58</v>
      </c>
      <c r="N78" s="5" t="s">
        <v>16</v>
      </c>
      <c r="O78" s="6" t="str">
        <f>IFERROR(VLOOKUP(K78,'2. Buzzi Admin Only'!Q:R,2,0),"")</f>
        <v/>
      </c>
    </row>
    <row r="79" spans="1:15" ht="15.75" customHeight="1" x14ac:dyDescent="0.25">
      <c r="A79" s="1" t="s">
        <v>268</v>
      </c>
      <c r="B79" s="1" t="s">
        <v>16</v>
      </c>
      <c r="C79" s="1" t="s">
        <v>16</v>
      </c>
      <c r="D79" s="2" t="s">
        <v>269</v>
      </c>
      <c r="E79" s="1" t="s">
        <v>270</v>
      </c>
      <c r="F79" s="1" t="s">
        <v>141</v>
      </c>
      <c r="G79" s="1" t="s">
        <v>194</v>
      </c>
      <c r="H79" s="1" t="s">
        <v>16</v>
      </c>
      <c r="I79" s="1" t="s">
        <v>16</v>
      </c>
      <c r="J79" s="1" t="s">
        <v>16</v>
      </c>
      <c r="K79" s="4" t="s">
        <v>16</v>
      </c>
      <c r="L79" s="1" t="s">
        <v>271</v>
      </c>
      <c r="M79" s="1" t="s">
        <v>272</v>
      </c>
      <c r="N79" s="7" t="str">
        <f>IFERROR(VLOOKUP(#REF!,'2. Buzzi Admin Only'!N:O,2,0),"")</f>
        <v/>
      </c>
      <c r="O79" s="6" t="str">
        <f>IFERROR(VLOOKUP(K79,'2. Buzzi Admin Only'!Q:R,2,0),"")</f>
        <v/>
      </c>
    </row>
    <row r="80" spans="1:15" ht="15.75" customHeight="1" x14ac:dyDescent="0.25">
      <c r="A80" s="1" t="s">
        <v>273</v>
      </c>
      <c r="B80" s="1" t="s">
        <v>16</v>
      </c>
      <c r="C80" s="1" t="s">
        <v>16</v>
      </c>
      <c r="D80" s="2" t="s">
        <v>16</v>
      </c>
      <c r="E80" s="1" t="s">
        <v>274</v>
      </c>
      <c r="F80" s="1" t="s">
        <v>141</v>
      </c>
      <c r="G80" s="1" t="s">
        <v>194</v>
      </c>
      <c r="H80" s="1" t="s">
        <v>16</v>
      </c>
      <c r="I80" s="1" t="s">
        <v>16</v>
      </c>
      <c r="J80" s="1" t="s">
        <v>16</v>
      </c>
      <c r="K80" s="4" t="s">
        <v>16</v>
      </c>
      <c r="L80" s="1" t="s">
        <v>120</v>
      </c>
      <c r="M80" s="1" t="s">
        <v>275</v>
      </c>
      <c r="N80" s="7" t="str">
        <f>IFERROR(VLOOKUP(#REF!,'2. Buzzi Admin Only'!N:O,2,0),"")</f>
        <v/>
      </c>
      <c r="O80" s="6" t="str">
        <f>IFERROR(VLOOKUP(K80,'2. Buzzi Admin Only'!Q:R,2,0),"")</f>
        <v/>
      </c>
    </row>
    <row r="81" spans="1:15" ht="15.75" customHeight="1" x14ac:dyDescent="0.25">
      <c r="A81" s="1" t="s">
        <v>276</v>
      </c>
      <c r="B81" s="1" t="s">
        <v>138</v>
      </c>
      <c r="C81" s="1" t="s">
        <v>16</v>
      </c>
      <c r="D81" s="2" t="s">
        <v>277</v>
      </c>
      <c r="E81" s="1" t="s">
        <v>19</v>
      </c>
      <c r="F81" s="1" t="s">
        <v>20</v>
      </c>
      <c r="G81" s="1" t="s">
        <v>21</v>
      </c>
      <c r="H81" s="1" t="s">
        <v>278</v>
      </c>
      <c r="I81" s="1" t="s">
        <v>16</v>
      </c>
      <c r="J81" s="1" t="s">
        <v>16</v>
      </c>
      <c r="K81" s="4" t="s">
        <v>16</v>
      </c>
      <c r="L81" s="1" t="s">
        <v>23</v>
      </c>
      <c r="M81" s="1" t="s">
        <v>279</v>
      </c>
      <c r="N81" s="7" t="str">
        <f>IFERROR(VLOOKUP(#REF!,'2. Buzzi Admin Only'!N:O,2,0),"")</f>
        <v/>
      </c>
      <c r="O81" s="6" t="str">
        <f>IFERROR(VLOOKUP(K81,'2. Buzzi Admin Only'!Q:R,2,0),"")</f>
        <v/>
      </c>
    </row>
    <row r="82" spans="1:15" ht="15.75" customHeight="1" x14ac:dyDescent="0.25">
      <c r="A82" s="1" t="s">
        <v>280</v>
      </c>
      <c r="B82" s="1" t="s">
        <v>16</v>
      </c>
      <c r="C82" s="1" t="s">
        <v>145</v>
      </c>
      <c r="D82" s="2" t="s">
        <v>281</v>
      </c>
      <c r="E82" s="1" t="s">
        <v>19</v>
      </c>
      <c r="F82" s="1" t="s">
        <v>20</v>
      </c>
      <c r="G82" s="1" t="s">
        <v>28</v>
      </c>
      <c r="H82" s="1" t="s">
        <v>282</v>
      </c>
      <c r="I82" s="1" t="s">
        <v>16</v>
      </c>
      <c r="J82" s="1" t="s">
        <v>57</v>
      </c>
      <c r="K82" s="4" t="s">
        <v>16</v>
      </c>
      <c r="L82" s="1" t="s">
        <v>23</v>
      </c>
      <c r="M82" s="1" t="s">
        <v>58</v>
      </c>
      <c r="N82" s="7" t="str">
        <f>IFERROR(VLOOKUP(#REF!,'2. Buzzi Admin Only'!N:O,2,0),"")</f>
        <v/>
      </c>
      <c r="O82" s="6" t="str">
        <f>IFERROR(VLOOKUP(K82,'2. Buzzi Admin Only'!Q:R,2,0),"")</f>
        <v/>
      </c>
    </row>
    <row r="83" spans="1:15" ht="15.75" customHeight="1" x14ac:dyDescent="0.25">
      <c r="A83" s="1" t="s">
        <v>283</v>
      </c>
      <c r="B83" s="1" t="s">
        <v>16</v>
      </c>
      <c r="C83" s="1" t="s">
        <v>16</v>
      </c>
      <c r="D83" s="2" t="s">
        <v>16</v>
      </c>
      <c r="E83" s="1" t="s">
        <v>19</v>
      </c>
      <c r="F83" s="1" t="s">
        <v>20</v>
      </c>
      <c r="G83" s="1" t="s">
        <v>28</v>
      </c>
      <c r="H83" s="1" t="s">
        <v>284</v>
      </c>
      <c r="I83" s="1" t="s">
        <v>16</v>
      </c>
      <c r="J83" s="1" t="s">
        <v>16</v>
      </c>
      <c r="K83" s="4" t="s">
        <v>16</v>
      </c>
      <c r="L83" s="1" t="s">
        <v>23</v>
      </c>
      <c r="M83" s="1" t="s">
        <v>58</v>
      </c>
      <c r="N83" s="7" t="str">
        <f>IFERROR(VLOOKUP(#REF!,'2. Buzzi Admin Only'!N:O,2,0),"")</f>
        <v/>
      </c>
      <c r="O83" s="6" t="str">
        <f>IFERROR(VLOOKUP(K83,'2. Buzzi Admin Only'!Q:R,2,0),"")</f>
        <v/>
      </c>
    </row>
    <row r="84" spans="1:15" ht="15.75" customHeight="1" x14ac:dyDescent="0.25">
      <c r="A84" s="1" t="s">
        <v>285</v>
      </c>
      <c r="B84" s="1" t="s">
        <v>16</v>
      </c>
      <c r="C84" s="1" t="s">
        <v>16</v>
      </c>
      <c r="D84" s="2" t="s">
        <v>16</v>
      </c>
      <c r="E84" s="1" t="s">
        <v>16</v>
      </c>
      <c r="F84" s="1" t="s">
        <v>16</v>
      </c>
      <c r="G84" s="1" t="s">
        <v>16</v>
      </c>
      <c r="H84" s="1" t="s">
        <v>16</v>
      </c>
      <c r="I84" s="1" t="s">
        <v>16</v>
      </c>
      <c r="J84" s="1" t="s">
        <v>16</v>
      </c>
      <c r="K84" s="4" t="s">
        <v>16</v>
      </c>
      <c r="L84" s="1" t="s">
        <v>16</v>
      </c>
      <c r="M84" s="1" t="s">
        <v>16</v>
      </c>
      <c r="N84" s="7" t="str">
        <f>IFERROR(VLOOKUP(#REF!,'2. Buzzi Admin Only'!N:O,2,0),"")</f>
        <v/>
      </c>
      <c r="O84" s="6" t="str">
        <f>IFERROR(VLOOKUP(K84,'2. Buzzi Admin Only'!Q:R,2,0),"")</f>
        <v/>
      </c>
    </row>
    <row r="85" spans="1:15" ht="15.75" customHeight="1" x14ac:dyDescent="0.25">
      <c r="A85" s="1" t="s">
        <v>286</v>
      </c>
      <c r="B85" s="1" t="s">
        <v>16</v>
      </c>
      <c r="C85" s="1" t="s">
        <v>60</v>
      </c>
      <c r="D85" s="2" t="s">
        <v>287</v>
      </c>
      <c r="E85" s="1" t="s">
        <v>288</v>
      </c>
      <c r="F85" s="1" t="s">
        <v>20</v>
      </c>
      <c r="G85" s="1" t="s">
        <v>44</v>
      </c>
      <c r="H85" s="1" t="s">
        <v>289</v>
      </c>
      <c r="I85" s="1" t="s">
        <v>16</v>
      </c>
      <c r="J85" s="1" t="s">
        <v>16</v>
      </c>
      <c r="K85" s="4" t="s">
        <v>16</v>
      </c>
      <c r="L85" s="1" t="s">
        <v>23</v>
      </c>
      <c r="M85" s="1" t="s">
        <v>290</v>
      </c>
      <c r="N85" s="7" t="str">
        <f>IFERROR(VLOOKUP(#REF!,'2. Buzzi Admin Only'!N:O,2,0),"")</f>
        <v/>
      </c>
      <c r="O85" s="6" t="str">
        <f>IFERROR(VLOOKUP(K85,'2. Buzzi Admin Only'!Q:R,2,0),"")</f>
        <v/>
      </c>
    </row>
    <row r="86" spans="1:15" ht="15.75" customHeight="1" x14ac:dyDescent="0.25">
      <c r="A86" s="1" t="s">
        <v>291</v>
      </c>
      <c r="B86" s="1" t="s">
        <v>16</v>
      </c>
      <c r="C86" s="1" t="s">
        <v>16</v>
      </c>
      <c r="D86" s="2" t="s">
        <v>16</v>
      </c>
      <c r="E86" s="1" t="s">
        <v>16</v>
      </c>
      <c r="F86" s="1" t="s">
        <v>16</v>
      </c>
      <c r="G86" s="1" t="s">
        <v>16</v>
      </c>
      <c r="H86" s="1" t="s">
        <v>16</v>
      </c>
      <c r="I86" s="1" t="s">
        <v>16</v>
      </c>
      <c r="J86" s="1" t="s">
        <v>16</v>
      </c>
      <c r="K86" s="4" t="s">
        <v>16</v>
      </c>
      <c r="L86" s="1" t="s">
        <v>16</v>
      </c>
      <c r="M86" s="1" t="s">
        <v>16</v>
      </c>
      <c r="N86" s="7" t="str">
        <f>IFERROR(VLOOKUP(#REF!,'2. Buzzi Admin Only'!N:O,2,0),"")</f>
        <v/>
      </c>
      <c r="O86" s="6" t="str">
        <f>IFERROR(VLOOKUP(K86,'2. Buzzi Admin Only'!Q:R,2,0),"")</f>
        <v/>
      </c>
    </row>
    <row r="87" spans="1:15" ht="15.75" customHeight="1" x14ac:dyDescent="0.25">
      <c r="A87" s="1" t="s">
        <v>292</v>
      </c>
      <c r="B87" s="1" t="s">
        <v>38</v>
      </c>
      <c r="C87" s="1" t="s">
        <v>16</v>
      </c>
      <c r="D87" s="2" t="s">
        <v>16</v>
      </c>
      <c r="E87" s="1" t="s">
        <v>40</v>
      </c>
      <c r="F87" s="1" t="s">
        <v>141</v>
      </c>
      <c r="G87" s="1" t="s">
        <v>152</v>
      </c>
      <c r="H87" s="1" t="s">
        <v>16</v>
      </c>
      <c r="I87" s="1" t="s">
        <v>16</v>
      </c>
      <c r="J87" s="1" t="s">
        <v>16</v>
      </c>
      <c r="K87" s="4" t="s">
        <v>16</v>
      </c>
      <c r="L87" s="1" t="s">
        <v>23</v>
      </c>
      <c r="M87" s="1" t="s">
        <v>16</v>
      </c>
      <c r="N87" s="7" t="str">
        <f>IFERROR(VLOOKUP(#REF!,'2. Buzzi Admin Only'!N:O,2,0),"")</f>
        <v/>
      </c>
      <c r="O87" s="6" t="str">
        <f>IFERROR(VLOOKUP(K87,'2. Buzzi Admin Only'!Q:R,2,0),"")</f>
        <v/>
      </c>
    </row>
    <row r="88" spans="1:15" ht="15.75" customHeight="1" x14ac:dyDescent="0.25">
      <c r="A88" s="1" t="s">
        <v>293</v>
      </c>
      <c r="B88" s="1" t="s">
        <v>16</v>
      </c>
      <c r="C88" s="1" t="s">
        <v>16</v>
      </c>
      <c r="D88" s="2" t="s">
        <v>16</v>
      </c>
      <c r="E88" s="1" t="s">
        <v>40</v>
      </c>
      <c r="F88" s="1" t="s">
        <v>294</v>
      </c>
      <c r="G88" s="1" t="s">
        <v>295</v>
      </c>
      <c r="H88" s="1" t="s">
        <v>16</v>
      </c>
      <c r="I88" s="1" t="s">
        <v>16</v>
      </c>
      <c r="J88" s="1" t="s">
        <v>16</v>
      </c>
      <c r="K88" s="4" t="s">
        <v>16</v>
      </c>
      <c r="L88" s="1" t="s">
        <v>71</v>
      </c>
      <c r="M88" s="1" t="s">
        <v>16</v>
      </c>
      <c r="N88" s="7" t="str">
        <f>IFERROR(VLOOKUP(#REF!,'2. Buzzi Admin Only'!N:O,2,0),"")</f>
        <v/>
      </c>
      <c r="O88" s="6" t="str">
        <f>IFERROR(VLOOKUP(K88,'2. Buzzi Admin Only'!Q:R,2,0),"")</f>
        <v/>
      </c>
    </row>
    <row r="89" spans="1:15" ht="15.75" customHeight="1" x14ac:dyDescent="0.25">
      <c r="A89" s="1" t="s">
        <v>296</v>
      </c>
      <c r="B89" s="1" t="s">
        <v>138</v>
      </c>
      <c r="C89" s="1" t="s">
        <v>60</v>
      </c>
      <c r="D89" s="2" t="s">
        <v>297</v>
      </c>
      <c r="E89" s="1" t="s">
        <v>19</v>
      </c>
      <c r="F89" s="1" t="s">
        <v>20</v>
      </c>
      <c r="G89" s="1" t="s">
        <v>28</v>
      </c>
      <c r="H89" s="1" t="s">
        <v>16</v>
      </c>
      <c r="I89" s="1" t="s">
        <v>16</v>
      </c>
      <c r="J89" s="1" t="s">
        <v>16</v>
      </c>
      <c r="K89" s="4" t="s">
        <v>16</v>
      </c>
      <c r="L89" s="1" t="s">
        <v>23</v>
      </c>
      <c r="M89" s="1" t="s">
        <v>298</v>
      </c>
      <c r="N89" s="7" t="str">
        <f>IFERROR(VLOOKUP(#REF!,'2. Buzzi Admin Only'!N:O,2,0),"")</f>
        <v/>
      </c>
      <c r="O89" s="6" t="str">
        <f>IFERROR(VLOOKUP(K89,'2. Buzzi Admin Only'!Q:R,2,0),"")</f>
        <v/>
      </c>
    </row>
    <row r="90" spans="1:15" ht="15.75" customHeight="1" x14ac:dyDescent="0.25">
      <c r="A90" s="1" t="s">
        <v>299</v>
      </c>
      <c r="B90" s="1" t="s">
        <v>138</v>
      </c>
      <c r="C90" s="1" t="s">
        <v>16</v>
      </c>
      <c r="D90" s="2" t="s">
        <v>218</v>
      </c>
      <c r="E90" s="1" t="s">
        <v>19</v>
      </c>
      <c r="F90" s="1" t="s">
        <v>20</v>
      </c>
      <c r="G90" s="1" t="s">
        <v>21</v>
      </c>
      <c r="H90" s="1" t="s">
        <v>300</v>
      </c>
      <c r="I90" s="1" t="s">
        <v>16</v>
      </c>
      <c r="J90" s="1" t="s">
        <v>16</v>
      </c>
      <c r="K90" s="4" t="s">
        <v>16</v>
      </c>
      <c r="L90" s="1" t="s">
        <v>23</v>
      </c>
      <c r="M90" s="1" t="s">
        <v>301</v>
      </c>
      <c r="N90" s="7" t="str">
        <f>IFERROR(VLOOKUP(#REF!,'2. Buzzi Admin Only'!N:O,2,0),"")</f>
        <v/>
      </c>
      <c r="O90" s="6" t="str">
        <f>IFERROR(VLOOKUP(K90,'2. Buzzi Admin Only'!Q:R,2,0),"")</f>
        <v/>
      </c>
    </row>
    <row r="91" spans="1:15" ht="15.75" customHeight="1" x14ac:dyDescent="0.25">
      <c r="A91" s="1" t="s">
        <v>302</v>
      </c>
      <c r="B91" s="1" t="s">
        <v>138</v>
      </c>
      <c r="C91" s="1" t="s">
        <v>16</v>
      </c>
      <c r="D91" s="2" t="s">
        <v>303</v>
      </c>
      <c r="E91" s="1" t="s">
        <v>304</v>
      </c>
      <c r="F91" s="1" t="s">
        <v>20</v>
      </c>
      <c r="G91" s="1" t="s">
        <v>21</v>
      </c>
      <c r="H91" s="1" t="s">
        <v>305</v>
      </c>
      <c r="I91" s="1" t="s">
        <v>16</v>
      </c>
      <c r="J91" s="1" t="s">
        <v>16</v>
      </c>
      <c r="K91" s="4" t="s">
        <v>16</v>
      </c>
      <c r="L91" s="1" t="s">
        <v>23</v>
      </c>
      <c r="M91" s="1" t="s">
        <v>58</v>
      </c>
      <c r="N91" s="7" t="str">
        <f>IFERROR(VLOOKUP(#REF!,'2. Buzzi Admin Only'!N:O,2,0),"")</f>
        <v/>
      </c>
      <c r="O91" s="6" t="str">
        <f>IFERROR(VLOOKUP(K91,'2. Buzzi Admin Only'!Q:R,2,0),"")</f>
        <v/>
      </c>
    </row>
    <row r="92" spans="1:15" ht="15.75" customHeight="1" x14ac:dyDescent="0.25">
      <c r="A92" s="1" t="s">
        <v>306</v>
      </c>
      <c r="B92" s="1" t="s">
        <v>138</v>
      </c>
      <c r="C92" s="1" t="s">
        <v>16</v>
      </c>
      <c r="D92" s="2" t="s">
        <v>307</v>
      </c>
      <c r="E92" s="1" t="s">
        <v>308</v>
      </c>
      <c r="F92" s="1" t="s">
        <v>20</v>
      </c>
      <c r="G92" s="1" t="s">
        <v>44</v>
      </c>
      <c r="H92" s="1" t="s">
        <v>309</v>
      </c>
      <c r="I92" s="1" t="s">
        <v>16</v>
      </c>
      <c r="J92" s="1" t="s">
        <v>16</v>
      </c>
      <c r="K92" s="4" t="s">
        <v>16</v>
      </c>
      <c r="L92" s="1" t="s">
        <v>23</v>
      </c>
      <c r="M92" s="1" t="s">
        <v>42</v>
      </c>
      <c r="N92" s="7" t="str">
        <f>IFERROR(VLOOKUP(#REF!,'2. Buzzi Admin Only'!N:O,2,0),"")</f>
        <v/>
      </c>
      <c r="O92" s="6" t="str">
        <f>IFERROR(VLOOKUP(K92,'2. Buzzi Admin Only'!Q:R,2,0),"")</f>
        <v/>
      </c>
    </row>
    <row r="93" spans="1:15" ht="15.75" customHeight="1" x14ac:dyDescent="0.25">
      <c r="A93" s="1" t="s">
        <v>310</v>
      </c>
      <c r="B93" s="1" t="s">
        <v>16</v>
      </c>
      <c r="C93" s="1" t="s">
        <v>16</v>
      </c>
      <c r="D93" s="2" t="s">
        <v>16</v>
      </c>
      <c r="E93" s="1" t="s">
        <v>16</v>
      </c>
      <c r="F93" s="1" t="s">
        <v>16</v>
      </c>
      <c r="G93" s="1" t="s">
        <v>16</v>
      </c>
      <c r="H93" s="1" t="s">
        <v>16</v>
      </c>
      <c r="I93" s="1" t="s">
        <v>16</v>
      </c>
      <c r="J93" s="1" t="s">
        <v>16</v>
      </c>
      <c r="K93" s="4" t="s">
        <v>16</v>
      </c>
      <c r="L93" s="1" t="s">
        <v>16</v>
      </c>
      <c r="M93" s="1" t="s">
        <v>16</v>
      </c>
      <c r="N93" s="7" t="str">
        <f>IFERROR(VLOOKUP(#REF!,'2. Buzzi Admin Only'!N:O,2,0),"")</f>
        <v/>
      </c>
      <c r="O93" s="6" t="str">
        <f>IFERROR(VLOOKUP(K93,'2. Buzzi Admin Only'!Q:R,2,0),"")</f>
        <v/>
      </c>
    </row>
    <row r="94" spans="1:15" ht="15.75" customHeight="1" x14ac:dyDescent="0.25">
      <c r="A94" s="1" t="s">
        <v>311</v>
      </c>
      <c r="B94" s="1" t="s">
        <v>138</v>
      </c>
      <c r="C94" s="1" t="s">
        <v>312</v>
      </c>
      <c r="D94" s="2" t="s">
        <v>229</v>
      </c>
      <c r="E94" s="1" t="s">
        <v>313</v>
      </c>
      <c r="F94" s="1" t="s">
        <v>20</v>
      </c>
      <c r="G94" s="1" t="s">
        <v>28</v>
      </c>
      <c r="H94" s="1" t="s">
        <v>314</v>
      </c>
      <c r="I94" s="1" t="s">
        <v>16</v>
      </c>
      <c r="J94" s="1" t="s">
        <v>16</v>
      </c>
      <c r="K94" s="4" t="s">
        <v>16</v>
      </c>
      <c r="L94" s="1" t="s">
        <v>23</v>
      </c>
      <c r="M94" s="1" t="s">
        <v>58</v>
      </c>
      <c r="N94" s="7" t="str">
        <f>IFERROR(VLOOKUP(#REF!,'2. Buzzi Admin Only'!N:O,2,0),"")</f>
        <v/>
      </c>
      <c r="O94" s="6" t="str">
        <f>IFERROR(VLOOKUP(K94,'2. Buzzi Admin Only'!Q:R,2,0),"")</f>
        <v/>
      </c>
    </row>
    <row r="95" spans="1:15" ht="15.75" customHeight="1" x14ac:dyDescent="0.25">
      <c r="A95" s="1" t="s">
        <v>315</v>
      </c>
      <c r="B95" s="1" t="s">
        <v>16</v>
      </c>
      <c r="C95" s="1" t="s">
        <v>16</v>
      </c>
      <c r="D95" s="2" t="s">
        <v>16</v>
      </c>
      <c r="E95" s="1" t="s">
        <v>316</v>
      </c>
      <c r="F95" s="1" t="s">
        <v>317</v>
      </c>
      <c r="G95" s="1" t="s">
        <v>194</v>
      </c>
      <c r="H95" s="1" t="s">
        <v>318</v>
      </c>
      <c r="I95" s="1" t="s">
        <v>16</v>
      </c>
      <c r="J95" s="1" t="s">
        <v>16</v>
      </c>
      <c r="K95" s="4" t="s">
        <v>16</v>
      </c>
      <c r="L95" s="1" t="s">
        <v>120</v>
      </c>
      <c r="M95" s="1" t="s">
        <v>319</v>
      </c>
      <c r="N95" s="7" t="str">
        <f>IFERROR(VLOOKUP(#REF!,'2. Buzzi Admin Only'!N:O,2,0),"")</f>
        <v/>
      </c>
      <c r="O95" s="6" t="str">
        <f>IFERROR(VLOOKUP(K95,'2. Buzzi Admin Only'!Q:R,2,0),"")</f>
        <v/>
      </c>
    </row>
    <row r="96" spans="1:15" ht="15.75" customHeight="1" x14ac:dyDescent="0.25">
      <c r="A96" s="1" t="s">
        <v>320</v>
      </c>
      <c r="B96" s="1" t="s">
        <v>16</v>
      </c>
      <c r="C96" s="1" t="s">
        <v>16</v>
      </c>
      <c r="D96" s="2" t="s">
        <v>16</v>
      </c>
      <c r="E96" s="1" t="s">
        <v>16</v>
      </c>
      <c r="F96" s="1" t="s">
        <v>16</v>
      </c>
      <c r="G96" s="1" t="s">
        <v>16</v>
      </c>
      <c r="H96" s="1" t="s">
        <v>16</v>
      </c>
      <c r="I96" s="1" t="s">
        <v>16</v>
      </c>
      <c r="J96" s="1" t="s">
        <v>16</v>
      </c>
      <c r="K96" s="4" t="s">
        <v>16</v>
      </c>
      <c r="L96" s="1" t="s">
        <v>16</v>
      </c>
      <c r="M96" s="1" t="s">
        <v>16</v>
      </c>
      <c r="N96" s="7" t="str">
        <f>IFERROR(VLOOKUP(#REF!,'2. Buzzi Admin Only'!N:O,2,0),"")</f>
        <v/>
      </c>
      <c r="O96" s="6" t="str">
        <f>IFERROR(VLOOKUP(K96,'2. Buzzi Admin Only'!Q:R,2,0),"")</f>
        <v/>
      </c>
    </row>
    <row r="97" spans="1:15" ht="15.75" customHeight="1" x14ac:dyDescent="0.25">
      <c r="A97" s="1" t="s">
        <v>321</v>
      </c>
      <c r="B97" s="1" t="s">
        <v>16</v>
      </c>
      <c r="C97" s="1" t="s">
        <v>16</v>
      </c>
      <c r="D97" s="2" t="s">
        <v>16</v>
      </c>
      <c r="E97" s="1" t="s">
        <v>40</v>
      </c>
      <c r="F97" s="1" t="s">
        <v>141</v>
      </c>
      <c r="G97" s="1" t="s">
        <v>194</v>
      </c>
      <c r="H97" s="1" t="s">
        <v>16</v>
      </c>
      <c r="I97" s="1" t="s">
        <v>16</v>
      </c>
      <c r="J97" s="1" t="s">
        <v>16</v>
      </c>
      <c r="K97" s="4" t="s">
        <v>16</v>
      </c>
      <c r="L97" s="1" t="s">
        <v>71</v>
      </c>
      <c r="M97" s="1" t="s">
        <v>16</v>
      </c>
      <c r="N97" s="7" t="str">
        <f>IFERROR(VLOOKUP(#REF!,'2. Buzzi Admin Only'!N:O,2,0),"")</f>
        <v/>
      </c>
      <c r="O97" s="6" t="str">
        <f>IFERROR(VLOOKUP(K97,'2. Buzzi Admin Only'!Q:R,2,0),"")</f>
        <v/>
      </c>
    </row>
    <row r="98" spans="1:15" ht="15.75" customHeight="1" x14ac:dyDescent="0.25">
      <c r="A98" s="1" t="s">
        <v>322</v>
      </c>
      <c r="B98" s="1" t="s">
        <v>16</v>
      </c>
      <c r="C98" s="1" t="s">
        <v>16</v>
      </c>
      <c r="D98" s="2" t="s">
        <v>323</v>
      </c>
      <c r="E98" s="1" t="s">
        <v>324</v>
      </c>
      <c r="F98" s="1" t="s">
        <v>20</v>
      </c>
      <c r="G98" s="1" t="s">
        <v>28</v>
      </c>
      <c r="H98" s="1" t="s">
        <v>16</v>
      </c>
      <c r="I98" s="1" t="s">
        <v>16</v>
      </c>
      <c r="J98" s="1" t="s">
        <v>16</v>
      </c>
      <c r="K98" s="4" t="s">
        <v>16</v>
      </c>
      <c r="L98" s="1" t="s">
        <v>23</v>
      </c>
      <c r="M98" s="1" t="s">
        <v>58</v>
      </c>
      <c r="N98" s="7" t="str">
        <f>IFERROR(VLOOKUP(#REF!,'2. Buzzi Admin Only'!N:O,2,0),"")</f>
        <v/>
      </c>
      <c r="O98" s="6" t="str">
        <f>IFERROR(VLOOKUP(K98,'2. Buzzi Admin Only'!Q:R,2,0),"")</f>
        <v/>
      </c>
    </row>
    <row r="99" spans="1:15" ht="15.75" customHeight="1" x14ac:dyDescent="0.25">
      <c r="A99" s="1" t="s">
        <v>325</v>
      </c>
      <c r="B99" s="1" t="s">
        <v>16</v>
      </c>
      <c r="C99" s="1" t="s">
        <v>16</v>
      </c>
      <c r="D99" s="2" t="s">
        <v>16</v>
      </c>
      <c r="E99" s="1" t="s">
        <v>19</v>
      </c>
      <c r="F99" s="1" t="s">
        <v>20</v>
      </c>
      <c r="G99" s="1" t="s">
        <v>28</v>
      </c>
      <c r="H99" s="1" t="s">
        <v>326</v>
      </c>
      <c r="I99" s="1" t="s">
        <v>16</v>
      </c>
      <c r="J99" s="1" t="s">
        <v>16</v>
      </c>
      <c r="K99" s="4" t="s">
        <v>16</v>
      </c>
      <c r="L99" s="1" t="s">
        <v>23</v>
      </c>
      <c r="M99" s="1" t="s">
        <v>58</v>
      </c>
      <c r="N99" s="7" t="str">
        <f>IFERROR(VLOOKUP(#REF!,'2. Buzzi Admin Only'!N:O,2,0),"")</f>
        <v/>
      </c>
      <c r="O99" s="6" t="str">
        <f>IFERROR(VLOOKUP(K99,'2. Buzzi Admin Only'!Q:R,2,0),"")</f>
        <v/>
      </c>
    </row>
    <row r="100" spans="1:15" ht="15.75" customHeight="1" x14ac:dyDescent="0.25">
      <c r="A100" s="1" t="s">
        <v>327</v>
      </c>
      <c r="B100" s="1" t="s">
        <v>138</v>
      </c>
      <c r="C100" s="1" t="s">
        <v>16</v>
      </c>
      <c r="D100" s="2" t="s">
        <v>242</v>
      </c>
      <c r="E100" s="1" t="s">
        <v>328</v>
      </c>
      <c r="F100" s="1" t="s">
        <v>20</v>
      </c>
      <c r="G100" s="1" t="s">
        <v>21</v>
      </c>
      <c r="H100" s="1" t="s">
        <v>329</v>
      </c>
      <c r="I100" s="1" t="s">
        <v>16</v>
      </c>
      <c r="J100" s="1" t="s">
        <v>57</v>
      </c>
      <c r="K100" s="4" t="s">
        <v>16</v>
      </c>
      <c r="L100" s="1" t="s">
        <v>23</v>
      </c>
      <c r="M100" s="1" t="s">
        <v>58</v>
      </c>
      <c r="N100" s="7" t="str">
        <f>IFERROR(VLOOKUP(#REF!,'2. Buzzi Admin Only'!N:O,2,0),"")</f>
        <v/>
      </c>
      <c r="O100" s="6" t="str">
        <f>IFERROR(VLOOKUP(K100,'2. Buzzi Admin Only'!Q:R,2,0),"")</f>
        <v/>
      </c>
    </row>
    <row r="101" spans="1:15" ht="15.75" customHeight="1" x14ac:dyDescent="0.25">
      <c r="A101" s="1" t="s">
        <v>330</v>
      </c>
      <c r="B101" s="1" t="s">
        <v>158</v>
      </c>
      <c r="C101" s="1" t="s">
        <v>331</v>
      </c>
      <c r="D101" s="2" t="s">
        <v>332</v>
      </c>
      <c r="E101" s="1" t="s">
        <v>333</v>
      </c>
      <c r="F101" s="1" t="s">
        <v>20</v>
      </c>
      <c r="G101" s="1" t="s">
        <v>21</v>
      </c>
      <c r="H101" s="1" t="s">
        <v>334</v>
      </c>
      <c r="I101" s="1" t="s">
        <v>16</v>
      </c>
      <c r="J101" s="1" t="s">
        <v>16</v>
      </c>
      <c r="K101" s="4" t="s">
        <v>16</v>
      </c>
      <c r="L101" s="1" t="s">
        <v>23</v>
      </c>
      <c r="M101" s="1" t="s">
        <v>58</v>
      </c>
      <c r="N101" s="7" t="str">
        <f>IFERROR(VLOOKUP(#REF!,'2. Buzzi Admin Only'!N:O,2,0),"")</f>
        <v/>
      </c>
      <c r="O101" s="6" t="str">
        <f>IFERROR(VLOOKUP(K101,'2. Buzzi Admin Only'!Q:R,2,0),"")</f>
        <v/>
      </c>
    </row>
    <row r="102" spans="1:15" ht="15.75" customHeight="1" x14ac:dyDescent="0.25">
      <c r="A102" s="1" t="s">
        <v>335</v>
      </c>
      <c r="B102" s="1" t="s">
        <v>138</v>
      </c>
      <c r="C102" s="1" t="s">
        <v>16</v>
      </c>
      <c r="D102" s="2" t="s">
        <v>336</v>
      </c>
      <c r="E102" s="1" t="s">
        <v>337</v>
      </c>
      <c r="F102" s="1" t="s">
        <v>20</v>
      </c>
      <c r="G102" s="1" t="s">
        <v>21</v>
      </c>
      <c r="H102" s="1" t="s">
        <v>338</v>
      </c>
      <c r="I102" s="1" t="s">
        <v>16</v>
      </c>
      <c r="J102" s="1" t="s">
        <v>57</v>
      </c>
      <c r="K102" s="4" t="s">
        <v>16</v>
      </c>
      <c r="L102" s="1" t="s">
        <v>23</v>
      </c>
      <c r="M102" s="1" t="s">
        <v>58</v>
      </c>
      <c r="N102" s="7" t="str">
        <f>IFERROR(VLOOKUP(#REF!,'2. Buzzi Admin Only'!N:O,2,0),"")</f>
        <v/>
      </c>
      <c r="O102" s="6" t="str">
        <f>IFERROR(VLOOKUP(K102,'2. Buzzi Admin Only'!Q:R,2,0),"")</f>
        <v/>
      </c>
    </row>
    <row r="103" spans="1:15" ht="15.75" customHeight="1" x14ac:dyDescent="0.25">
      <c r="A103" s="1" t="s">
        <v>339</v>
      </c>
      <c r="B103" s="1" t="s">
        <v>158</v>
      </c>
      <c r="C103" s="1" t="s">
        <v>145</v>
      </c>
      <c r="D103" s="2" t="s">
        <v>340</v>
      </c>
      <c r="E103" s="1" t="s">
        <v>19</v>
      </c>
      <c r="F103" s="1" t="s">
        <v>20</v>
      </c>
      <c r="G103" s="1" t="s">
        <v>21</v>
      </c>
      <c r="H103" s="1" t="s">
        <v>341</v>
      </c>
      <c r="I103" s="1" t="s">
        <v>16</v>
      </c>
      <c r="J103" s="1" t="s">
        <v>16</v>
      </c>
      <c r="K103" s="4" t="s">
        <v>16</v>
      </c>
      <c r="L103" s="1" t="s">
        <v>23</v>
      </c>
      <c r="M103" s="1" t="s">
        <v>58</v>
      </c>
      <c r="N103" s="7" t="str">
        <f>IFERROR(VLOOKUP(#REF!,'2. Buzzi Admin Only'!N:O,2,0),"")</f>
        <v/>
      </c>
      <c r="O103" s="6" t="str">
        <f>IFERROR(VLOOKUP(K103,'2. Buzzi Admin Only'!Q:R,2,0),"")</f>
        <v/>
      </c>
    </row>
    <row r="104" spans="1:15" ht="15.75" customHeight="1" x14ac:dyDescent="0.25">
      <c r="A104" s="1" t="s">
        <v>342</v>
      </c>
      <c r="B104" s="1" t="s">
        <v>16</v>
      </c>
      <c r="C104" s="1" t="s">
        <v>16</v>
      </c>
      <c r="D104" s="2" t="s">
        <v>173</v>
      </c>
      <c r="E104" s="1" t="s">
        <v>343</v>
      </c>
      <c r="F104" s="1" t="s">
        <v>20</v>
      </c>
      <c r="G104" s="1" t="s">
        <v>28</v>
      </c>
      <c r="H104" s="1" t="s">
        <v>344</v>
      </c>
      <c r="I104" s="1" t="s">
        <v>16</v>
      </c>
      <c r="J104" s="1" t="s">
        <v>16</v>
      </c>
      <c r="K104" s="4" t="s">
        <v>16</v>
      </c>
      <c r="L104" s="1" t="s">
        <v>23</v>
      </c>
      <c r="M104" s="1" t="s">
        <v>58</v>
      </c>
      <c r="N104" s="7" t="str">
        <f>IFERROR(VLOOKUP(#REF!,'2. Buzzi Admin Only'!N:O,2,0),"")</f>
        <v/>
      </c>
      <c r="O104" s="6" t="str">
        <f>IFERROR(VLOOKUP(K104,'2. Buzzi Admin Only'!Q:R,2,0),"")</f>
        <v/>
      </c>
    </row>
    <row r="105" spans="1:15" ht="15.75" customHeight="1" x14ac:dyDescent="0.25">
      <c r="A105" s="1" t="s">
        <v>345</v>
      </c>
      <c r="B105" s="1" t="s">
        <v>16</v>
      </c>
      <c r="C105" s="1" t="s">
        <v>16</v>
      </c>
      <c r="D105" s="2" t="s">
        <v>16</v>
      </c>
      <c r="E105" s="1" t="s">
        <v>346</v>
      </c>
      <c r="F105" s="1" t="s">
        <v>317</v>
      </c>
      <c r="G105" s="1" t="s">
        <v>194</v>
      </c>
      <c r="H105" s="1" t="s">
        <v>16</v>
      </c>
      <c r="I105" s="1" t="s">
        <v>16</v>
      </c>
      <c r="J105" s="1" t="s">
        <v>16</v>
      </c>
      <c r="K105" s="4" t="s">
        <v>16</v>
      </c>
      <c r="L105" s="1" t="s">
        <v>120</v>
      </c>
      <c r="M105" s="1" t="s">
        <v>319</v>
      </c>
      <c r="N105" s="7" t="str">
        <f>IFERROR(VLOOKUP(#REF!,'2. Buzzi Admin Only'!N:O,2,0),"")</f>
        <v/>
      </c>
      <c r="O105" s="6" t="str">
        <f>IFERROR(VLOOKUP(K105,'2. Buzzi Admin Only'!Q:R,2,0),"")</f>
        <v/>
      </c>
    </row>
    <row r="106" spans="1:15" ht="15.75" customHeight="1" x14ac:dyDescent="0.25">
      <c r="A106" s="1" t="s">
        <v>347</v>
      </c>
      <c r="B106" s="1" t="s">
        <v>138</v>
      </c>
      <c r="C106" s="1" t="s">
        <v>16</v>
      </c>
      <c r="D106" s="2" t="s">
        <v>348</v>
      </c>
      <c r="E106" s="1" t="s">
        <v>40</v>
      </c>
      <c r="F106" s="1" t="s">
        <v>20</v>
      </c>
      <c r="G106" s="1" t="s">
        <v>21</v>
      </c>
      <c r="H106" s="1" t="s">
        <v>349</v>
      </c>
      <c r="I106" s="1" t="s">
        <v>16</v>
      </c>
      <c r="J106" s="1" t="s">
        <v>16</v>
      </c>
      <c r="K106" s="4" t="s">
        <v>16</v>
      </c>
      <c r="L106" s="1" t="s">
        <v>23</v>
      </c>
      <c r="M106" s="1" t="s">
        <v>58</v>
      </c>
      <c r="N106" s="7" t="str">
        <f>IFERROR(VLOOKUP(#REF!,'2. Buzzi Admin Only'!N:O,2,0),"")</f>
        <v/>
      </c>
      <c r="O106" s="6" t="str">
        <f>IFERROR(VLOOKUP(K106,'2. Buzzi Admin Only'!Q:R,2,0),"")</f>
        <v/>
      </c>
    </row>
    <row r="107" spans="1:15" ht="15.75" customHeight="1" x14ac:dyDescent="0.25">
      <c r="A107" s="1" t="s">
        <v>350</v>
      </c>
      <c r="B107" s="1" t="s">
        <v>16</v>
      </c>
      <c r="C107" s="1" t="s">
        <v>16</v>
      </c>
      <c r="D107" s="2" t="s">
        <v>16</v>
      </c>
      <c r="E107" s="1" t="s">
        <v>351</v>
      </c>
      <c r="F107" s="1" t="s">
        <v>16</v>
      </c>
      <c r="G107" s="1" t="s">
        <v>16</v>
      </c>
      <c r="H107" s="1" t="s">
        <v>16</v>
      </c>
      <c r="I107" s="1" t="s">
        <v>16</v>
      </c>
      <c r="J107" s="1" t="s">
        <v>16</v>
      </c>
      <c r="K107" s="4" t="s">
        <v>16</v>
      </c>
      <c r="L107" s="1" t="s">
        <v>23</v>
      </c>
      <c r="M107" s="1" t="s">
        <v>16</v>
      </c>
      <c r="N107" s="7" t="str">
        <f>IFERROR(VLOOKUP(#REF!,'2. Buzzi Admin Only'!N:O,2,0),"")</f>
        <v/>
      </c>
      <c r="O107" s="6" t="str">
        <f>IFERROR(VLOOKUP(K107,'2. Buzzi Admin Only'!Q:R,2,0),"")</f>
        <v/>
      </c>
    </row>
    <row r="108" spans="1:15" ht="15.75" customHeight="1" x14ac:dyDescent="0.25">
      <c r="A108" s="1" t="s">
        <v>352</v>
      </c>
      <c r="B108" s="1" t="s">
        <v>138</v>
      </c>
      <c r="C108" s="1" t="s">
        <v>16</v>
      </c>
      <c r="D108" s="2" t="s">
        <v>353</v>
      </c>
      <c r="E108" s="1" t="s">
        <v>354</v>
      </c>
      <c r="F108" s="1" t="s">
        <v>20</v>
      </c>
      <c r="G108" s="1" t="s">
        <v>21</v>
      </c>
      <c r="H108" s="1" t="s">
        <v>355</v>
      </c>
      <c r="I108" s="1" t="s">
        <v>16</v>
      </c>
      <c r="J108" s="1" t="s">
        <v>16</v>
      </c>
      <c r="K108" s="4" t="s">
        <v>16</v>
      </c>
      <c r="L108" s="1" t="s">
        <v>23</v>
      </c>
      <c r="M108" s="1" t="s">
        <v>58</v>
      </c>
      <c r="N108" s="7" t="str">
        <f>IFERROR(VLOOKUP(#REF!,'2. Buzzi Admin Only'!N:O,2,0),"")</f>
        <v/>
      </c>
      <c r="O108" s="6" t="str">
        <f>IFERROR(VLOOKUP(K108,'2. Buzzi Admin Only'!Q:R,2,0),"")</f>
        <v/>
      </c>
    </row>
    <row r="109" spans="1:15" ht="15.75" customHeight="1" x14ac:dyDescent="0.25">
      <c r="A109" s="1" t="s">
        <v>356</v>
      </c>
      <c r="B109" s="1" t="s">
        <v>38</v>
      </c>
      <c r="C109" s="1" t="s">
        <v>16</v>
      </c>
      <c r="D109" s="2" t="s">
        <v>357</v>
      </c>
      <c r="E109" s="1" t="s">
        <v>19</v>
      </c>
      <c r="F109" s="1" t="s">
        <v>20</v>
      </c>
      <c r="G109" s="1" t="s">
        <v>28</v>
      </c>
      <c r="H109" s="1" t="s">
        <v>358</v>
      </c>
      <c r="I109" s="1" t="s">
        <v>16</v>
      </c>
      <c r="J109" s="1" t="s">
        <v>16</v>
      </c>
      <c r="K109" s="4" t="s">
        <v>16</v>
      </c>
      <c r="L109" s="1" t="s">
        <v>23</v>
      </c>
      <c r="M109" s="1" t="s">
        <v>58</v>
      </c>
      <c r="N109" s="7" t="str">
        <f>IFERROR(VLOOKUP(#REF!,'2. Buzzi Admin Only'!N:O,2,0),"")</f>
        <v/>
      </c>
      <c r="O109" s="6" t="str">
        <f>IFERROR(VLOOKUP(K109,'2. Buzzi Admin Only'!Q:R,2,0),"")</f>
        <v/>
      </c>
    </row>
    <row r="110" spans="1:15" ht="15.75" customHeight="1" x14ac:dyDescent="0.25">
      <c r="A110" s="1" t="s">
        <v>359</v>
      </c>
      <c r="B110" s="1" t="s">
        <v>16</v>
      </c>
      <c r="C110" s="1" t="s">
        <v>16</v>
      </c>
      <c r="D110" s="2" t="s">
        <v>16</v>
      </c>
      <c r="E110" s="1" t="s">
        <v>360</v>
      </c>
      <c r="F110" s="1" t="s">
        <v>141</v>
      </c>
      <c r="G110" s="1" t="s">
        <v>194</v>
      </c>
      <c r="H110" s="1" t="s">
        <v>16</v>
      </c>
      <c r="I110" s="1" t="s">
        <v>16</v>
      </c>
      <c r="J110" s="1" t="s">
        <v>16</v>
      </c>
      <c r="K110" s="4" t="s">
        <v>16</v>
      </c>
      <c r="L110" s="1" t="s">
        <v>120</v>
      </c>
      <c r="M110" s="1" t="s">
        <v>361</v>
      </c>
      <c r="N110" s="7" t="str">
        <f>IFERROR(VLOOKUP(#REF!,'2. Buzzi Admin Only'!N:O,2,0),"")</f>
        <v/>
      </c>
      <c r="O110" s="6" t="str">
        <f>IFERROR(VLOOKUP(K110,'2. Buzzi Admin Only'!Q:R,2,0),"")</f>
        <v/>
      </c>
    </row>
    <row r="111" spans="1:15" ht="15.75" customHeight="1" x14ac:dyDescent="0.25">
      <c r="A111" s="1" t="s">
        <v>362</v>
      </c>
      <c r="B111" s="1" t="s">
        <v>16</v>
      </c>
      <c r="C111" s="1" t="s">
        <v>16</v>
      </c>
      <c r="D111" s="2" t="s">
        <v>16</v>
      </c>
      <c r="E111" s="1" t="s">
        <v>16</v>
      </c>
      <c r="F111" s="1" t="s">
        <v>16</v>
      </c>
      <c r="G111" s="1" t="s">
        <v>16</v>
      </c>
      <c r="H111" s="1" t="s">
        <v>16</v>
      </c>
      <c r="I111" s="1" t="s">
        <v>16</v>
      </c>
      <c r="J111" s="1" t="s">
        <v>16</v>
      </c>
      <c r="K111" s="4" t="s">
        <v>16</v>
      </c>
      <c r="L111" s="1" t="s">
        <v>16</v>
      </c>
      <c r="M111" s="1" t="s">
        <v>16</v>
      </c>
      <c r="N111" s="7" t="str">
        <f>IFERROR(VLOOKUP(#REF!,'2. Buzzi Admin Only'!N:O,2,0),"")</f>
        <v/>
      </c>
      <c r="O111" s="6" t="str">
        <f>IFERROR(VLOOKUP(K111,'2. Buzzi Admin Only'!Q:R,2,0),"")</f>
        <v/>
      </c>
    </row>
    <row r="112" spans="1:15" ht="15.75" customHeight="1" x14ac:dyDescent="0.25">
      <c r="A112" s="1" t="s">
        <v>363</v>
      </c>
      <c r="B112" s="1" t="s">
        <v>16</v>
      </c>
      <c r="C112" s="1" t="s">
        <v>16</v>
      </c>
      <c r="D112" s="2" t="s">
        <v>16</v>
      </c>
      <c r="E112" s="1" t="s">
        <v>364</v>
      </c>
      <c r="F112" s="1" t="s">
        <v>141</v>
      </c>
      <c r="G112" s="1" t="s">
        <v>194</v>
      </c>
      <c r="H112" s="1" t="s">
        <v>16</v>
      </c>
      <c r="I112" s="1" t="s">
        <v>16</v>
      </c>
      <c r="J112" s="1" t="s">
        <v>16</v>
      </c>
      <c r="K112" s="4" t="s">
        <v>16</v>
      </c>
      <c r="L112" s="1" t="s">
        <v>120</v>
      </c>
      <c r="M112" s="1" t="s">
        <v>365</v>
      </c>
      <c r="N112" s="7" t="str">
        <f>IFERROR(VLOOKUP(#REF!,'2. Buzzi Admin Only'!N:O,2,0),"")</f>
        <v/>
      </c>
      <c r="O112" s="6" t="str">
        <f>IFERROR(VLOOKUP(K112,'2. Buzzi Admin Only'!Q:R,2,0),"")</f>
        <v/>
      </c>
    </row>
    <row r="113" spans="1:15" ht="15.75" customHeight="1" x14ac:dyDescent="0.25">
      <c r="A113" s="1" t="s">
        <v>366</v>
      </c>
      <c r="B113" s="1" t="s">
        <v>16</v>
      </c>
      <c r="C113" s="1" t="s">
        <v>367</v>
      </c>
      <c r="D113" s="2" t="s">
        <v>368</v>
      </c>
      <c r="E113" s="1" t="s">
        <v>369</v>
      </c>
      <c r="F113" s="1" t="s">
        <v>20</v>
      </c>
      <c r="G113" s="1" t="s">
        <v>28</v>
      </c>
      <c r="H113" s="1" t="s">
        <v>370</v>
      </c>
      <c r="I113" s="1" t="s">
        <v>16</v>
      </c>
      <c r="J113" s="1" t="s">
        <v>57</v>
      </c>
      <c r="K113" s="4" t="s">
        <v>16</v>
      </c>
      <c r="L113" s="1" t="s">
        <v>23</v>
      </c>
      <c r="M113" s="1" t="s">
        <v>371</v>
      </c>
      <c r="N113" s="7" t="str">
        <f>IFERROR(VLOOKUP(#REF!,'2. Buzzi Admin Only'!N:O,2,0),"")</f>
        <v/>
      </c>
      <c r="O113" s="6" t="str">
        <f>IFERROR(VLOOKUP(K113,'2. Buzzi Admin Only'!Q:R,2,0),"")</f>
        <v/>
      </c>
    </row>
    <row r="114" spans="1:15" ht="15.75" customHeight="1" x14ac:dyDescent="0.25">
      <c r="A114" s="1" t="s">
        <v>372</v>
      </c>
      <c r="B114" s="1" t="s">
        <v>16</v>
      </c>
      <c r="C114" s="1" t="s">
        <v>16</v>
      </c>
      <c r="D114" s="2" t="s">
        <v>16</v>
      </c>
      <c r="E114" s="1" t="s">
        <v>16</v>
      </c>
      <c r="F114" s="1" t="s">
        <v>16</v>
      </c>
      <c r="G114" s="1" t="s">
        <v>16</v>
      </c>
      <c r="H114" s="1" t="s">
        <v>16</v>
      </c>
      <c r="I114" s="1" t="s">
        <v>16</v>
      </c>
      <c r="J114" s="1" t="s">
        <v>16</v>
      </c>
      <c r="K114" s="4" t="s">
        <v>16</v>
      </c>
      <c r="L114" s="1" t="s">
        <v>16</v>
      </c>
      <c r="M114" s="1" t="s">
        <v>16</v>
      </c>
      <c r="N114" s="7" t="str">
        <f>IFERROR(VLOOKUP(#REF!,'2. Buzzi Admin Only'!N:O,2,0),"")</f>
        <v/>
      </c>
      <c r="O114" s="6" t="str">
        <f>IFERROR(VLOOKUP(K114,'2. Buzzi Admin Only'!Q:R,2,0),"")</f>
        <v/>
      </c>
    </row>
    <row r="115" spans="1:15" ht="15.75" customHeight="1" x14ac:dyDescent="0.25">
      <c r="A115" s="1" t="s">
        <v>373</v>
      </c>
      <c r="B115" s="1" t="s">
        <v>16</v>
      </c>
      <c r="C115" s="1" t="s">
        <v>44</v>
      </c>
      <c r="D115" s="2" t="s">
        <v>16</v>
      </c>
      <c r="E115" s="1" t="s">
        <v>16</v>
      </c>
      <c r="F115" s="1" t="s">
        <v>20</v>
      </c>
      <c r="G115" s="1" t="s">
        <v>44</v>
      </c>
      <c r="H115" s="1" t="s">
        <v>16</v>
      </c>
      <c r="I115" s="1" t="s">
        <v>16</v>
      </c>
      <c r="J115" s="1" t="s">
        <v>16</v>
      </c>
      <c r="K115" s="4" t="s">
        <v>16</v>
      </c>
      <c r="L115" s="1" t="s">
        <v>23</v>
      </c>
      <c r="M115" s="1" t="s">
        <v>16</v>
      </c>
      <c r="N115" s="7" t="str">
        <f>IFERROR(VLOOKUP(#REF!,'2. Buzzi Admin Only'!N:O,2,0),"")</f>
        <v/>
      </c>
      <c r="O115" s="6" t="str">
        <f>IFERROR(VLOOKUP(K115,'2. Buzzi Admin Only'!Q:R,2,0),"")</f>
        <v/>
      </c>
    </row>
    <row r="116" spans="1:15" ht="15.75" customHeight="1" x14ac:dyDescent="0.25">
      <c r="A116" s="1" t="s">
        <v>374</v>
      </c>
      <c r="B116" s="1" t="s">
        <v>16</v>
      </c>
      <c r="C116" s="1" t="s">
        <v>16</v>
      </c>
      <c r="D116" s="2" t="s">
        <v>16</v>
      </c>
      <c r="E116" s="1" t="s">
        <v>375</v>
      </c>
      <c r="F116" s="1" t="s">
        <v>317</v>
      </c>
      <c r="G116" s="1" t="s">
        <v>194</v>
      </c>
      <c r="H116" s="1" t="s">
        <v>16</v>
      </c>
      <c r="I116" s="1" t="s">
        <v>16</v>
      </c>
      <c r="J116" s="1" t="s">
        <v>16</v>
      </c>
      <c r="K116" s="4" t="s">
        <v>16</v>
      </c>
      <c r="L116" s="1" t="s">
        <v>120</v>
      </c>
      <c r="M116" s="1" t="s">
        <v>319</v>
      </c>
      <c r="N116" s="7" t="str">
        <f>IFERROR(VLOOKUP(#REF!,'2. Buzzi Admin Only'!N:O,2,0),"")</f>
        <v/>
      </c>
      <c r="O116" s="6" t="str">
        <f>IFERROR(VLOOKUP(K116,'2. Buzzi Admin Only'!Q:R,2,0),"")</f>
        <v/>
      </c>
    </row>
    <row r="117" spans="1:15" ht="15.75" customHeight="1" x14ac:dyDescent="0.25">
      <c r="A117" s="1" t="s">
        <v>376</v>
      </c>
      <c r="B117" s="1" t="s">
        <v>16</v>
      </c>
      <c r="C117" s="1" t="s">
        <v>145</v>
      </c>
      <c r="D117" s="2" t="s">
        <v>16</v>
      </c>
      <c r="E117" s="1" t="s">
        <v>377</v>
      </c>
      <c r="F117" s="1" t="s">
        <v>16</v>
      </c>
      <c r="G117" s="1" t="s">
        <v>16</v>
      </c>
      <c r="H117" s="1" t="s">
        <v>378</v>
      </c>
      <c r="I117" s="1" t="s">
        <v>16</v>
      </c>
      <c r="J117" s="1" t="s">
        <v>199</v>
      </c>
      <c r="K117" s="4" t="s">
        <v>16</v>
      </c>
      <c r="L117" s="1" t="s">
        <v>23</v>
      </c>
      <c r="M117" s="1" t="s">
        <v>16</v>
      </c>
      <c r="N117" s="7" t="str">
        <f>IFERROR(VLOOKUP(#REF!,'2. Buzzi Admin Only'!N:O,2,0),"")</f>
        <v/>
      </c>
      <c r="O117" s="6" t="str">
        <f>IFERROR(VLOOKUP(K117,'2. Buzzi Admin Only'!Q:R,2,0),"")</f>
        <v/>
      </c>
    </row>
    <row r="118" spans="1:15" ht="15.75" customHeight="1" x14ac:dyDescent="0.25">
      <c r="A118" s="1" t="s">
        <v>379</v>
      </c>
      <c r="B118" s="1" t="s">
        <v>16</v>
      </c>
      <c r="C118" s="1" t="s">
        <v>16</v>
      </c>
      <c r="D118" s="2" t="s">
        <v>16</v>
      </c>
      <c r="E118" s="1" t="s">
        <v>40</v>
      </c>
      <c r="F118" s="1" t="s">
        <v>20</v>
      </c>
      <c r="G118" s="1" t="s">
        <v>21</v>
      </c>
      <c r="H118" s="1" t="s">
        <v>380</v>
      </c>
      <c r="I118" s="1" t="s">
        <v>16</v>
      </c>
      <c r="J118" s="1" t="s">
        <v>16</v>
      </c>
      <c r="K118" s="4" t="s">
        <v>16</v>
      </c>
      <c r="L118" s="1" t="s">
        <v>23</v>
      </c>
      <c r="M118" s="1" t="s">
        <v>16</v>
      </c>
      <c r="N118" s="7" t="str">
        <f>IFERROR(VLOOKUP(#REF!,'2. Buzzi Admin Only'!N:O,2,0),"")</f>
        <v/>
      </c>
      <c r="O118" s="6" t="str">
        <f>IFERROR(VLOOKUP(K118,'2. Buzzi Admin Only'!Q:R,2,0),"")</f>
        <v/>
      </c>
    </row>
    <row r="119" spans="1:15" ht="15.75" customHeight="1" x14ac:dyDescent="0.25">
      <c r="A119" s="1" t="s">
        <v>381</v>
      </c>
      <c r="B119" s="1" t="s">
        <v>16</v>
      </c>
      <c r="C119" s="1" t="s">
        <v>60</v>
      </c>
      <c r="D119" s="2" t="s">
        <v>382</v>
      </c>
      <c r="E119" s="1" t="s">
        <v>383</v>
      </c>
      <c r="F119" s="1" t="s">
        <v>20</v>
      </c>
      <c r="G119" s="1" t="s">
        <v>44</v>
      </c>
      <c r="H119" s="1" t="s">
        <v>384</v>
      </c>
      <c r="I119" s="1" t="s">
        <v>16</v>
      </c>
      <c r="J119" s="1" t="s">
        <v>16</v>
      </c>
      <c r="K119" s="4" t="s">
        <v>16</v>
      </c>
      <c r="L119" s="1" t="s">
        <v>23</v>
      </c>
      <c r="M119" s="1" t="s">
        <v>58</v>
      </c>
      <c r="N119" s="7" t="str">
        <f>IFERROR(VLOOKUP(#REF!,'2. Buzzi Admin Only'!N:O,2,0),"")</f>
        <v/>
      </c>
      <c r="O119" s="6" t="str">
        <f>IFERROR(VLOOKUP(K119,'2. Buzzi Admin Only'!Q:R,2,0),"")</f>
        <v/>
      </c>
    </row>
    <row r="120" spans="1:15" ht="15.75" customHeight="1" x14ac:dyDescent="0.25">
      <c r="A120" s="1" t="s">
        <v>385</v>
      </c>
      <c r="B120" s="1" t="s">
        <v>138</v>
      </c>
      <c r="C120" s="1" t="s">
        <v>16</v>
      </c>
      <c r="D120" s="2" t="s">
        <v>386</v>
      </c>
      <c r="E120" s="1" t="s">
        <v>387</v>
      </c>
      <c r="F120" s="1" t="s">
        <v>20</v>
      </c>
      <c r="G120" s="1" t="s">
        <v>21</v>
      </c>
      <c r="H120" s="1" t="s">
        <v>388</v>
      </c>
      <c r="I120" s="1" t="s">
        <v>16</v>
      </c>
      <c r="J120" s="1" t="s">
        <v>16</v>
      </c>
      <c r="K120" s="4" t="s">
        <v>16</v>
      </c>
      <c r="L120" s="1" t="s">
        <v>23</v>
      </c>
      <c r="M120" s="1" t="s">
        <v>52</v>
      </c>
      <c r="N120" s="7" t="str">
        <f>IFERROR(VLOOKUP(#REF!,'2. Buzzi Admin Only'!N:O,2,0),"")</f>
        <v/>
      </c>
      <c r="O120" s="6" t="str">
        <f>IFERROR(VLOOKUP(K120,'2. Buzzi Admin Only'!Q:R,2,0),"")</f>
        <v/>
      </c>
    </row>
    <row r="121" spans="1:15" ht="15.75" customHeight="1" x14ac:dyDescent="0.25">
      <c r="A121" s="1" t="s">
        <v>389</v>
      </c>
      <c r="B121" s="1" t="s">
        <v>38</v>
      </c>
      <c r="C121" s="1" t="s">
        <v>16</v>
      </c>
      <c r="D121" s="2" t="s">
        <v>390</v>
      </c>
      <c r="E121" s="1" t="s">
        <v>19</v>
      </c>
      <c r="F121" s="1" t="s">
        <v>20</v>
      </c>
      <c r="G121" s="1" t="s">
        <v>28</v>
      </c>
      <c r="H121" s="1" t="s">
        <v>391</v>
      </c>
      <c r="I121" s="1" t="s">
        <v>16</v>
      </c>
      <c r="J121" s="1" t="s">
        <v>16</v>
      </c>
      <c r="K121" s="4" t="s">
        <v>16</v>
      </c>
      <c r="L121" s="1" t="s">
        <v>23</v>
      </c>
      <c r="M121" s="1" t="s">
        <v>16</v>
      </c>
      <c r="N121" s="7" t="str">
        <f>IFERROR(VLOOKUP(#REF!,'2. Buzzi Admin Only'!N:O,2,0),"")</f>
        <v/>
      </c>
      <c r="O121" s="6" t="str">
        <f>IFERROR(VLOOKUP(K121,'2. Buzzi Admin Only'!Q:R,2,0),"")</f>
        <v/>
      </c>
    </row>
    <row r="122" spans="1:15" ht="15.75" customHeight="1" x14ac:dyDescent="0.25">
      <c r="A122" s="1" t="s">
        <v>392</v>
      </c>
      <c r="B122" s="1" t="s">
        <v>38</v>
      </c>
      <c r="C122" s="1" t="s">
        <v>60</v>
      </c>
      <c r="D122" s="2" t="s">
        <v>393</v>
      </c>
      <c r="E122" s="1" t="s">
        <v>40</v>
      </c>
      <c r="F122" s="1" t="s">
        <v>141</v>
      </c>
      <c r="G122" s="1" t="s">
        <v>142</v>
      </c>
      <c r="H122" s="1" t="s">
        <v>394</v>
      </c>
      <c r="I122" s="1" t="s">
        <v>16</v>
      </c>
      <c r="J122" s="1" t="s">
        <v>16</v>
      </c>
      <c r="K122" s="4" t="s">
        <v>16</v>
      </c>
      <c r="L122" s="1" t="s">
        <v>23</v>
      </c>
      <c r="M122" s="1" t="s">
        <v>58</v>
      </c>
      <c r="N122" s="7" t="str">
        <f>IFERROR(VLOOKUP(#REF!,'2. Buzzi Admin Only'!N:O,2,0),"")</f>
        <v/>
      </c>
      <c r="O122" s="6" t="str">
        <f>IFERROR(VLOOKUP(K122,'2. Buzzi Admin Only'!Q:R,2,0),"")</f>
        <v/>
      </c>
    </row>
    <row r="123" spans="1:15" ht="15.75" customHeight="1" x14ac:dyDescent="0.25">
      <c r="A123" s="1" t="s">
        <v>395</v>
      </c>
      <c r="B123" s="1" t="s">
        <v>16</v>
      </c>
      <c r="C123" s="1" t="s">
        <v>16</v>
      </c>
      <c r="D123" s="2" t="s">
        <v>16</v>
      </c>
      <c r="E123" s="1" t="s">
        <v>16</v>
      </c>
      <c r="F123" s="1" t="s">
        <v>16</v>
      </c>
      <c r="G123" s="1" t="s">
        <v>16</v>
      </c>
      <c r="H123" s="1" t="s">
        <v>16</v>
      </c>
      <c r="I123" s="1" t="s">
        <v>16</v>
      </c>
      <c r="J123" s="1" t="s">
        <v>16</v>
      </c>
      <c r="K123" s="4" t="s">
        <v>16</v>
      </c>
      <c r="L123" s="1" t="s">
        <v>16</v>
      </c>
      <c r="M123" s="1" t="s">
        <v>16</v>
      </c>
      <c r="N123" s="7" t="str">
        <f>IFERROR(VLOOKUP(#REF!,'2. Buzzi Admin Only'!N:O,2,0),"")</f>
        <v/>
      </c>
      <c r="O123" s="6" t="str">
        <f>IFERROR(VLOOKUP(K123,'2. Buzzi Admin Only'!Q:R,2,0),"")</f>
        <v/>
      </c>
    </row>
    <row r="124" spans="1:15" ht="15.75" customHeight="1" x14ac:dyDescent="0.25">
      <c r="A124" s="1" t="s">
        <v>396</v>
      </c>
      <c r="B124" s="1" t="s">
        <v>16</v>
      </c>
      <c r="C124" s="1" t="s">
        <v>16</v>
      </c>
      <c r="D124" s="2" t="s">
        <v>16</v>
      </c>
      <c r="E124" s="1" t="s">
        <v>16</v>
      </c>
      <c r="F124" s="1" t="s">
        <v>16</v>
      </c>
      <c r="G124" s="1" t="s">
        <v>16</v>
      </c>
      <c r="H124" s="1" t="s">
        <v>16</v>
      </c>
      <c r="I124" s="1" t="s">
        <v>16</v>
      </c>
      <c r="J124" s="1" t="s">
        <v>16</v>
      </c>
      <c r="K124" s="4" t="s">
        <v>16</v>
      </c>
      <c r="L124" s="1" t="s">
        <v>16</v>
      </c>
      <c r="M124" s="1" t="s">
        <v>16</v>
      </c>
      <c r="N124" s="7" t="str">
        <f>IFERROR(VLOOKUP(#REF!,'2. Buzzi Admin Only'!N:O,2,0),"")</f>
        <v/>
      </c>
      <c r="O124" s="6" t="str">
        <f>IFERROR(VLOOKUP(K124,'2. Buzzi Admin Only'!Q:R,2,0),"")</f>
        <v/>
      </c>
    </row>
    <row r="125" spans="1:15" ht="15.75" customHeight="1" x14ac:dyDescent="0.25">
      <c r="A125" s="1" t="s">
        <v>397</v>
      </c>
      <c r="B125" s="1" t="s">
        <v>16</v>
      </c>
      <c r="C125" s="1" t="s">
        <v>16</v>
      </c>
      <c r="D125" s="2" t="s">
        <v>16</v>
      </c>
      <c r="E125" s="1" t="s">
        <v>16</v>
      </c>
      <c r="F125" s="1" t="s">
        <v>16</v>
      </c>
      <c r="G125" s="1" t="s">
        <v>16</v>
      </c>
      <c r="H125" s="1" t="s">
        <v>16</v>
      </c>
      <c r="I125" s="1" t="s">
        <v>16</v>
      </c>
      <c r="J125" s="1" t="s">
        <v>16</v>
      </c>
      <c r="K125" s="4" t="s">
        <v>16</v>
      </c>
      <c r="L125" s="1" t="s">
        <v>16</v>
      </c>
      <c r="M125" s="1" t="s">
        <v>16</v>
      </c>
      <c r="N125" s="7" t="str">
        <f>IFERROR(VLOOKUP(#REF!,'2. Buzzi Admin Only'!N:O,2,0),"")</f>
        <v/>
      </c>
      <c r="O125" s="6" t="str">
        <f>IFERROR(VLOOKUP(K125,'2. Buzzi Admin Only'!Q:R,2,0),"")</f>
        <v/>
      </c>
    </row>
    <row r="126" spans="1:15" ht="15.75" customHeight="1" x14ac:dyDescent="0.25">
      <c r="A126" s="1" t="s">
        <v>398</v>
      </c>
      <c r="B126" s="1" t="s">
        <v>158</v>
      </c>
      <c r="C126" s="1" t="s">
        <v>16</v>
      </c>
      <c r="D126" s="2" t="s">
        <v>399</v>
      </c>
      <c r="E126" s="1" t="s">
        <v>308</v>
      </c>
      <c r="F126" s="1" t="s">
        <v>20</v>
      </c>
      <c r="G126" s="1" t="s">
        <v>21</v>
      </c>
      <c r="H126" s="1" t="s">
        <v>400</v>
      </c>
      <c r="I126" s="1" t="s">
        <v>16</v>
      </c>
      <c r="J126" s="1" t="s">
        <v>57</v>
      </c>
      <c r="K126" s="4" t="s">
        <v>16</v>
      </c>
      <c r="L126" s="1" t="s">
        <v>23</v>
      </c>
      <c r="M126" s="1" t="s">
        <v>58</v>
      </c>
      <c r="N126" s="7" t="str">
        <f>IFERROR(VLOOKUP(#REF!,'2. Buzzi Admin Only'!N:O,2,0),"")</f>
        <v/>
      </c>
      <c r="O126" s="6" t="str">
        <f>IFERROR(VLOOKUP(K126,'2. Buzzi Admin Only'!Q:R,2,0),"")</f>
        <v/>
      </c>
    </row>
    <row r="127" spans="1:15" ht="15.75" customHeight="1" x14ac:dyDescent="0.25">
      <c r="A127" s="1" t="s">
        <v>401</v>
      </c>
      <c r="B127" s="1" t="s">
        <v>138</v>
      </c>
      <c r="C127" s="1" t="s">
        <v>402</v>
      </c>
      <c r="D127" s="2" t="s">
        <v>403</v>
      </c>
      <c r="E127" s="1" t="s">
        <v>354</v>
      </c>
      <c r="F127" s="1" t="s">
        <v>20</v>
      </c>
      <c r="G127" s="1" t="s">
        <v>21</v>
      </c>
      <c r="H127" s="1" t="s">
        <v>404</v>
      </c>
      <c r="I127" s="1" t="s">
        <v>16</v>
      </c>
      <c r="J127" s="1" t="s">
        <v>16</v>
      </c>
      <c r="K127" s="4" t="s">
        <v>16</v>
      </c>
      <c r="L127" s="1" t="s">
        <v>23</v>
      </c>
      <c r="M127" s="1" t="s">
        <v>42</v>
      </c>
      <c r="N127" s="7" t="str">
        <f>IFERROR(VLOOKUP(#REF!,'2. Buzzi Admin Only'!N:O,2,0),"")</f>
        <v/>
      </c>
      <c r="O127" s="6" t="str">
        <f>IFERROR(VLOOKUP(K127,'2. Buzzi Admin Only'!Q:R,2,0),"")</f>
        <v/>
      </c>
    </row>
    <row r="128" spans="1:15" ht="15.75" customHeight="1" x14ac:dyDescent="0.25">
      <c r="A128" s="1" t="s">
        <v>405</v>
      </c>
      <c r="B128" s="1" t="s">
        <v>16</v>
      </c>
      <c r="C128" s="1" t="s">
        <v>16</v>
      </c>
      <c r="D128" s="2" t="s">
        <v>16</v>
      </c>
      <c r="E128" s="1" t="s">
        <v>16</v>
      </c>
      <c r="F128" s="1" t="s">
        <v>16</v>
      </c>
      <c r="G128" s="1" t="s">
        <v>16</v>
      </c>
      <c r="H128" s="1" t="s">
        <v>16</v>
      </c>
      <c r="I128" s="1" t="s">
        <v>16</v>
      </c>
      <c r="J128" s="1" t="s">
        <v>16</v>
      </c>
      <c r="K128" s="4" t="s">
        <v>16</v>
      </c>
      <c r="L128" s="1" t="s">
        <v>16</v>
      </c>
      <c r="M128" s="1" t="s">
        <v>16</v>
      </c>
      <c r="N128" s="7" t="str">
        <f>IFERROR(VLOOKUP(#REF!,'2. Buzzi Admin Only'!N:O,2,0),"")</f>
        <v/>
      </c>
      <c r="O128" s="6" t="str">
        <f>IFERROR(VLOOKUP(K128,'2. Buzzi Admin Only'!Q:R,2,0),"")</f>
        <v/>
      </c>
    </row>
    <row r="129" spans="1:15" ht="15.75" customHeight="1" x14ac:dyDescent="0.25">
      <c r="A129" s="1" t="s">
        <v>406</v>
      </c>
      <c r="B129" s="1" t="s">
        <v>16</v>
      </c>
      <c r="C129" s="1" t="s">
        <v>16</v>
      </c>
      <c r="D129" s="2" t="s">
        <v>202</v>
      </c>
      <c r="E129" s="1" t="s">
        <v>407</v>
      </c>
      <c r="F129" s="1" t="s">
        <v>141</v>
      </c>
      <c r="G129" s="1" t="s">
        <v>142</v>
      </c>
      <c r="H129" s="1" t="s">
        <v>408</v>
      </c>
      <c r="I129" s="1" t="s">
        <v>16</v>
      </c>
      <c r="J129" s="1" t="s">
        <v>16</v>
      </c>
      <c r="K129" s="4" t="s">
        <v>16</v>
      </c>
      <c r="L129" s="1" t="s">
        <v>23</v>
      </c>
      <c r="M129" s="1" t="s">
        <v>409</v>
      </c>
      <c r="N129" s="7" t="str">
        <f>IFERROR(VLOOKUP(#REF!,'2. Buzzi Admin Only'!N:O,2,0),"")</f>
        <v/>
      </c>
      <c r="O129" s="6" t="str">
        <f>IFERROR(VLOOKUP(K129,'2. Buzzi Admin Only'!Q:R,2,0),"")</f>
        <v/>
      </c>
    </row>
    <row r="130" spans="1:15" ht="15.75" customHeight="1" x14ac:dyDescent="0.25">
      <c r="A130" s="1" t="s">
        <v>410</v>
      </c>
      <c r="B130" s="1" t="s">
        <v>158</v>
      </c>
      <c r="C130" s="1" t="s">
        <v>145</v>
      </c>
      <c r="D130" s="2" t="s">
        <v>411</v>
      </c>
      <c r="E130" s="1" t="s">
        <v>412</v>
      </c>
      <c r="F130" s="1" t="s">
        <v>20</v>
      </c>
      <c r="G130" s="1" t="s">
        <v>21</v>
      </c>
      <c r="H130" s="1" t="s">
        <v>16</v>
      </c>
      <c r="I130" s="1" t="s">
        <v>16</v>
      </c>
      <c r="J130" s="1" t="s">
        <v>16</v>
      </c>
      <c r="K130" s="4" t="s">
        <v>16</v>
      </c>
      <c r="L130" s="1" t="s">
        <v>23</v>
      </c>
      <c r="M130" s="1" t="s">
        <v>58</v>
      </c>
      <c r="N130" s="7" t="str">
        <f>IFERROR(VLOOKUP(#REF!,'2. Buzzi Admin Only'!N:O,2,0),"")</f>
        <v/>
      </c>
      <c r="O130" s="6" t="str">
        <f>IFERROR(VLOOKUP(K130,'2. Buzzi Admin Only'!Q:R,2,0),"")</f>
        <v/>
      </c>
    </row>
    <row r="131" spans="1:15" ht="15.75" customHeight="1" x14ac:dyDescent="0.25">
      <c r="A131" s="1" t="s">
        <v>413</v>
      </c>
      <c r="B131" s="1" t="s">
        <v>16</v>
      </c>
      <c r="C131" s="1" t="s">
        <v>16</v>
      </c>
      <c r="D131" s="2" t="s">
        <v>16</v>
      </c>
      <c r="E131" s="1" t="s">
        <v>40</v>
      </c>
      <c r="F131" s="1" t="s">
        <v>16</v>
      </c>
      <c r="G131" s="1" t="s">
        <v>16</v>
      </c>
      <c r="H131" s="1" t="s">
        <v>16</v>
      </c>
      <c r="I131" s="1" t="s">
        <v>16</v>
      </c>
      <c r="J131" s="1" t="s">
        <v>16</v>
      </c>
      <c r="K131" s="4" t="s">
        <v>16</v>
      </c>
      <c r="L131" s="1" t="s">
        <v>71</v>
      </c>
      <c r="M131" s="1" t="s">
        <v>16</v>
      </c>
      <c r="N131" s="7" t="str">
        <f>IFERROR(VLOOKUP(#REF!,'2. Buzzi Admin Only'!N:O,2,0),"")</f>
        <v/>
      </c>
      <c r="O131" s="6" t="str">
        <f>IFERROR(VLOOKUP(K131,'2. Buzzi Admin Only'!Q:R,2,0),"")</f>
        <v/>
      </c>
    </row>
    <row r="132" spans="1:15" ht="15.75" customHeight="1" x14ac:dyDescent="0.25">
      <c r="A132" s="1" t="s">
        <v>414</v>
      </c>
      <c r="B132" s="1" t="s">
        <v>16</v>
      </c>
      <c r="C132" s="1" t="s">
        <v>16</v>
      </c>
      <c r="D132" s="2" t="s">
        <v>16</v>
      </c>
      <c r="E132" s="1" t="s">
        <v>415</v>
      </c>
      <c r="F132" s="1" t="s">
        <v>20</v>
      </c>
      <c r="G132" s="1" t="s">
        <v>44</v>
      </c>
      <c r="H132" s="1" t="s">
        <v>16</v>
      </c>
      <c r="I132" s="1" t="s">
        <v>16</v>
      </c>
      <c r="J132" s="1" t="s">
        <v>16</v>
      </c>
      <c r="K132" s="4" t="s">
        <v>16</v>
      </c>
      <c r="L132" s="1" t="s">
        <v>23</v>
      </c>
      <c r="M132" s="1" t="s">
        <v>16</v>
      </c>
      <c r="N132" s="7" t="str">
        <f>IFERROR(VLOOKUP(#REF!,'2. Buzzi Admin Only'!N:O,2,0),"")</f>
        <v/>
      </c>
      <c r="O132" s="6" t="str">
        <f>IFERROR(VLOOKUP(K132,'2. Buzzi Admin Only'!Q:R,2,0),"")</f>
        <v/>
      </c>
    </row>
    <row r="133" spans="1:15" ht="15.75" customHeight="1" x14ac:dyDescent="0.25">
      <c r="A133" s="1" t="s">
        <v>416</v>
      </c>
      <c r="B133" s="1" t="s">
        <v>16</v>
      </c>
      <c r="C133" s="1" t="s">
        <v>16</v>
      </c>
      <c r="D133" s="2" t="s">
        <v>417</v>
      </c>
      <c r="E133" s="1" t="s">
        <v>418</v>
      </c>
      <c r="F133" s="1" t="s">
        <v>317</v>
      </c>
      <c r="G133" s="1" t="s">
        <v>194</v>
      </c>
      <c r="H133" s="1" t="s">
        <v>16</v>
      </c>
      <c r="I133" s="1" t="s">
        <v>16</v>
      </c>
      <c r="J133" s="1" t="s">
        <v>16</v>
      </c>
      <c r="K133" s="4" t="s">
        <v>16</v>
      </c>
      <c r="L133" s="1" t="s">
        <v>120</v>
      </c>
      <c r="M133" s="1" t="s">
        <v>319</v>
      </c>
      <c r="N133" s="7" t="str">
        <f>IFERROR(VLOOKUP(#REF!,'2. Buzzi Admin Only'!N:O,2,0),"")</f>
        <v/>
      </c>
      <c r="O133" s="6" t="str">
        <f>IFERROR(VLOOKUP(K133,'2. Buzzi Admin Only'!Q:R,2,0),"")</f>
        <v/>
      </c>
    </row>
    <row r="134" spans="1:15" ht="15.75" customHeight="1" x14ac:dyDescent="0.25">
      <c r="A134" s="1" t="s">
        <v>419</v>
      </c>
      <c r="B134" s="1" t="s">
        <v>38</v>
      </c>
      <c r="C134" s="1" t="s">
        <v>60</v>
      </c>
      <c r="D134" s="2" t="s">
        <v>420</v>
      </c>
      <c r="E134" s="1" t="s">
        <v>421</v>
      </c>
      <c r="F134" s="1" t="s">
        <v>20</v>
      </c>
      <c r="G134" s="1" t="s">
        <v>21</v>
      </c>
      <c r="H134" s="1" t="s">
        <v>422</v>
      </c>
      <c r="I134" s="1" t="s">
        <v>16</v>
      </c>
      <c r="J134" s="1" t="s">
        <v>16</v>
      </c>
      <c r="K134" s="4" t="s">
        <v>16</v>
      </c>
      <c r="L134" s="1" t="s">
        <v>23</v>
      </c>
      <c r="M134" s="1" t="s">
        <v>30</v>
      </c>
      <c r="N134" s="7" t="str">
        <f>IFERROR(VLOOKUP(#REF!,'2. Buzzi Admin Only'!N:O,2,0),"")</f>
        <v/>
      </c>
      <c r="O134" s="6" t="str">
        <f>IFERROR(VLOOKUP(K134,'2. Buzzi Admin Only'!Q:R,2,0),"")</f>
        <v/>
      </c>
    </row>
    <row r="135" spans="1:15" ht="15.75" customHeight="1" x14ac:dyDescent="0.25">
      <c r="A135" s="1" t="s">
        <v>423</v>
      </c>
      <c r="B135" s="1" t="s">
        <v>16</v>
      </c>
      <c r="C135" s="1" t="s">
        <v>16</v>
      </c>
      <c r="D135" s="2" t="s">
        <v>16</v>
      </c>
      <c r="E135" s="1" t="s">
        <v>16</v>
      </c>
      <c r="F135" s="1" t="s">
        <v>16</v>
      </c>
      <c r="G135" s="1" t="s">
        <v>16</v>
      </c>
      <c r="H135" s="1" t="s">
        <v>16</v>
      </c>
      <c r="I135" s="1" t="s">
        <v>16</v>
      </c>
      <c r="J135" s="1" t="s">
        <v>16</v>
      </c>
      <c r="K135" s="4" t="s">
        <v>16</v>
      </c>
      <c r="L135" s="1" t="s">
        <v>16</v>
      </c>
      <c r="M135" s="1" t="s">
        <v>16</v>
      </c>
      <c r="N135" s="7" t="str">
        <f>IFERROR(VLOOKUP(#REF!,'2. Buzzi Admin Only'!N:O,2,0),"")</f>
        <v/>
      </c>
      <c r="O135" s="6" t="str">
        <f>IFERROR(VLOOKUP(K135,'2. Buzzi Admin Only'!Q:R,2,0),"")</f>
        <v/>
      </c>
    </row>
    <row r="136" spans="1:15" ht="15.75" customHeight="1" x14ac:dyDescent="0.25">
      <c r="A136" s="1" t="s">
        <v>424</v>
      </c>
      <c r="B136" s="1" t="s">
        <v>16</v>
      </c>
      <c r="C136" s="1" t="s">
        <v>16</v>
      </c>
      <c r="D136" s="2" t="s">
        <v>16</v>
      </c>
      <c r="E136" s="1" t="s">
        <v>16</v>
      </c>
      <c r="F136" s="1" t="s">
        <v>16</v>
      </c>
      <c r="G136" s="1" t="s">
        <v>16</v>
      </c>
      <c r="H136" s="1" t="s">
        <v>16</v>
      </c>
      <c r="I136" s="1" t="s">
        <v>16</v>
      </c>
      <c r="J136" s="1" t="s">
        <v>16</v>
      </c>
      <c r="K136" s="4" t="s">
        <v>16</v>
      </c>
      <c r="L136" s="1" t="s">
        <v>16</v>
      </c>
      <c r="M136" s="1" t="s">
        <v>16</v>
      </c>
      <c r="N136" s="7" t="str">
        <f>IFERROR(VLOOKUP(#REF!,'2. Buzzi Admin Only'!N:O,2,0),"")</f>
        <v/>
      </c>
      <c r="O136" s="6" t="str">
        <f>IFERROR(VLOOKUP(K136,'2. Buzzi Admin Only'!Q:R,2,0),"")</f>
        <v/>
      </c>
    </row>
    <row r="137" spans="1:15" ht="15.75" customHeight="1" x14ac:dyDescent="0.25">
      <c r="A137" s="1" t="s">
        <v>425</v>
      </c>
      <c r="B137" s="1" t="s">
        <v>138</v>
      </c>
      <c r="C137" s="1" t="s">
        <v>145</v>
      </c>
      <c r="D137" s="2" t="s">
        <v>303</v>
      </c>
      <c r="E137" s="1" t="s">
        <v>426</v>
      </c>
      <c r="F137" s="1" t="s">
        <v>20</v>
      </c>
      <c r="G137" s="1" t="s">
        <v>44</v>
      </c>
      <c r="H137" s="1" t="s">
        <v>427</v>
      </c>
      <c r="I137" s="1" t="s">
        <v>16</v>
      </c>
      <c r="J137" s="1" t="s">
        <v>16</v>
      </c>
      <c r="K137" s="4" t="s">
        <v>16</v>
      </c>
      <c r="L137" s="1" t="s">
        <v>23</v>
      </c>
      <c r="M137" s="1" t="s">
        <v>58</v>
      </c>
      <c r="N137" s="7" t="str">
        <f>IFERROR(VLOOKUP(#REF!,'2. Buzzi Admin Only'!N:O,2,0),"")</f>
        <v/>
      </c>
      <c r="O137" s="6" t="str">
        <f>IFERROR(VLOOKUP(K137,'2. Buzzi Admin Only'!Q:R,2,0),"")</f>
        <v/>
      </c>
    </row>
    <row r="138" spans="1:15" ht="15.75" customHeight="1" x14ac:dyDescent="0.25">
      <c r="A138" s="1" t="s">
        <v>428</v>
      </c>
      <c r="B138" s="1" t="s">
        <v>16</v>
      </c>
      <c r="C138" s="1" t="s">
        <v>16</v>
      </c>
      <c r="D138" s="2" t="s">
        <v>16</v>
      </c>
      <c r="E138" s="1" t="s">
        <v>16</v>
      </c>
      <c r="F138" s="1" t="s">
        <v>16</v>
      </c>
      <c r="G138" s="1" t="s">
        <v>16</v>
      </c>
      <c r="H138" s="1" t="s">
        <v>16</v>
      </c>
      <c r="I138" s="1" t="s">
        <v>16</v>
      </c>
      <c r="J138" s="1" t="s">
        <v>16</v>
      </c>
      <c r="K138" s="4" t="s">
        <v>16</v>
      </c>
      <c r="L138" s="1" t="s">
        <v>23</v>
      </c>
      <c r="M138" s="1" t="s">
        <v>16</v>
      </c>
      <c r="N138" s="7" t="str">
        <f>IFERROR(VLOOKUP(#REF!,'2. Buzzi Admin Only'!N:O,2,0),"")</f>
        <v/>
      </c>
      <c r="O138" s="6" t="str">
        <f>IFERROR(VLOOKUP(K138,'2. Buzzi Admin Only'!Q:R,2,0),"")</f>
        <v/>
      </c>
    </row>
    <row r="139" spans="1:15" ht="15.75" customHeight="1" x14ac:dyDescent="0.25">
      <c r="A139" s="1" t="s">
        <v>429</v>
      </c>
      <c r="B139" s="1" t="s">
        <v>16</v>
      </c>
      <c r="C139" s="1" t="s">
        <v>430</v>
      </c>
      <c r="D139" s="2" t="s">
        <v>431</v>
      </c>
      <c r="E139" s="1" t="s">
        <v>432</v>
      </c>
      <c r="F139" s="1" t="s">
        <v>141</v>
      </c>
      <c r="G139" s="1" t="s">
        <v>194</v>
      </c>
      <c r="H139" s="1" t="s">
        <v>433</v>
      </c>
      <c r="I139" s="1" t="s">
        <v>16</v>
      </c>
      <c r="J139" s="1" t="s">
        <v>16</v>
      </c>
      <c r="K139" s="4" t="s">
        <v>16</v>
      </c>
      <c r="L139" s="1" t="s">
        <v>271</v>
      </c>
      <c r="M139" s="1" t="s">
        <v>434</v>
      </c>
      <c r="N139" s="7" t="str">
        <f>IFERROR(VLOOKUP(#REF!,'2. Buzzi Admin Only'!N:O,2,0),"")</f>
        <v/>
      </c>
      <c r="O139" s="6" t="str">
        <f>IFERROR(VLOOKUP(K139,'2. Buzzi Admin Only'!Q:R,2,0),"")</f>
        <v/>
      </c>
    </row>
    <row r="140" spans="1:15" ht="15.75" customHeight="1" x14ac:dyDescent="0.25">
      <c r="A140" s="1" t="s">
        <v>435</v>
      </c>
      <c r="B140" s="1" t="s">
        <v>16</v>
      </c>
      <c r="C140" s="1" t="s">
        <v>16</v>
      </c>
      <c r="D140" s="2" t="s">
        <v>16</v>
      </c>
      <c r="E140" s="1" t="s">
        <v>16</v>
      </c>
      <c r="F140" s="1" t="s">
        <v>16</v>
      </c>
      <c r="G140" s="1" t="s">
        <v>16</v>
      </c>
      <c r="H140" s="1" t="s">
        <v>16</v>
      </c>
      <c r="I140" s="1" t="s">
        <v>16</v>
      </c>
      <c r="J140" s="1" t="s">
        <v>16</v>
      </c>
      <c r="K140" s="4" t="s">
        <v>16</v>
      </c>
      <c r="L140" s="1" t="s">
        <v>16</v>
      </c>
      <c r="M140" s="1" t="s">
        <v>16</v>
      </c>
      <c r="N140" s="7" t="str">
        <f>IFERROR(VLOOKUP(#REF!,'2. Buzzi Admin Only'!N:O,2,0),"")</f>
        <v/>
      </c>
      <c r="O140" s="6" t="str">
        <f>IFERROR(VLOOKUP(K140,'2. Buzzi Admin Only'!Q:R,2,0),"")</f>
        <v/>
      </c>
    </row>
    <row r="141" spans="1:15" ht="15.75" customHeight="1" x14ac:dyDescent="0.25">
      <c r="A141" s="1" t="s">
        <v>436</v>
      </c>
      <c r="B141" s="1" t="s">
        <v>16</v>
      </c>
      <c r="C141" s="1" t="s">
        <v>16</v>
      </c>
      <c r="D141" s="2" t="s">
        <v>16</v>
      </c>
      <c r="E141" s="1" t="s">
        <v>437</v>
      </c>
      <c r="F141" s="1" t="s">
        <v>16</v>
      </c>
      <c r="G141" s="1" t="s">
        <v>16</v>
      </c>
      <c r="H141" s="1" t="s">
        <v>16</v>
      </c>
      <c r="I141" s="1" t="s">
        <v>16</v>
      </c>
      <c r="J141" s="1" t="s">
        <v>16</v>
      </c>
      <c r="K141" s="4" t="s">
        <v>16</v>
      </c>
      <c r="L141" s="1" t="s">
        <v>23</v>
      </c>
      <c r="M141" s="1" t="s">
        <v>16</v>
      </c>
      <c r="N141" s="7" t="str">
        <f>IFERROR(VLOOKUP(#REF!,'2. Buzzi Admin Only'!N:O,2,0),"")</f>
        <v/>
      </c>
      <c r="O141" s="6" t="str">
        <f>IFERROR(VLOOKUP(K141,'2. Buzzi Admin Only'!Q:R,2,0),"")</f>
        <v/>
      </c>
    </row>
    <row r="142" spans="1:15" ht="15.75" customHeight="1" x14ac:dyDescent="0.25">
      <c r="A142" s="1" t="s">
        <v>438</v>
      </c>
      <c r="B142" s="1" t="s">
        <v>16</v>
      </c>
      <c r="C142" s="1" t="s">
        <v>16</v>
      </c>
      <c r="D142" s="2" t="s">
        <v>16</v>
      </c>
      <c r="E142" s="1" t="s">
        <v>16</v>
      </c>
      <c r="F142" s="1" t="s">
        <v>20</v>
      </c>
      <c r="G142" s="1" t="s">
        <v>28</v>
      </c>
      <c r="H142" s="1" t="s">
        <v>16</v>
      </c>
      <c r="I142" s="1" t="s">
        <v>16</v>
      </c>
      <c r="J142" s="1" t="s">
        <v>16</v>
      </c>
      <c r="K142" s="4" t="s">
        <v>16</v>
      </c>
      <c r="L142" s="1" t="s">
        <v>23</v>
      </c>
      <c r="M142" s="1" t="s">
        <v>16</v>
      </c>
      <c r="N142" s="7" t="str">
        <f>IFERROR(VLOOKUP(#REF!,'2. Buzzi Admin Only'!N:O,2,0),"")</f>
        <v/>
      </c>
      <c r="O142" s="6" t="str">
        <f>IFERROR(VLOOKUP(K142,'2. Buzzi Admin Only'!Q:R,2,0),"")</f>
        <v/>
      </c>
    </row>
    <row r="143" spans="1:15" ht="15.75" customHeight="1" x14ac:dyDescent="0.25">
      <c r="A143" s="1" t="s">
        <v>439</v>
      </c>
      <c r="B143" s="1" t="s">
        <v>16</v>
      </c>
      <c r="C143" s="1" t="s">
        <v>16</v>
      </c>
      <c r="D143" s="2" t="s">
        <v>16</v>
      </c>
      <c r="E143" s="1" t="s">
        <v>16</v>
      </c>
      <c r="F143" s="1" t="s">
        <v>16</v>
      </c>
      <c r="G143" s="1" t="s">
        <v>16</v>
      </c>
      <c r="H143" s="1" t="s">
        <v>16</v>
      </c>
      <c r="I143" s="1" t="s">
        <v>16</v>
      </c>
      <c r="J143" s="1" t="s">
        <v>16</v>
      </c>
      <c r="K143" s="4" t="s">
        <v>16</v>
      </c>
      <c r="L143" s="1" t="s">
        <v>16</v>
      </c>
      <c r="M143" s="1" t="s">
        <v>16</v>
      </c>
      <c r="N143" s="7" t="str">
        <f>IFERROR(VLOOKUP(#REF!,'2. Buzzi Admin Only'!N:O,2,0),"")</f>
        <v/>
      </c>
      <c r="O143" s="6" t="str">
        <f>IFERROR(VLOOKUP(K143,'2. Buzzi Admin Only'!Q:R,2,0),"")</f>
        <v/>
      </c>
    </row>
    <row r="144" spans="1:15" ht="15.75" customHeight="1" x14ac:dyDescent="0.25">
      <c r="A144" s="1" t="s">
        <v>440</v>
      </c>
      <c r="B144" s="1" t="s">
        <v>16</v>
      </c>
      <c r="C144" s="1" t="s">
        <v>16</v>
      </c>
      <c r="D144" s="2" t="s">
        <v>16</v>
      </c>
      <c r="E144" s="1" t="s">
        <v>441</v>
      </c>
      <c r="F144" s="1" t="s">
        <v>20</v>
      </c>
      <c r="G144" s="1" t="s">
        <v>28</v>
      </c>
      <c r="H144" s="1" t="s">
        <v>442</v>
      </c>
      <c r="I144" s="1" t="s">
        <v>16</v>
      </c>
      <c r="J144" s="1" t="s">
        <v>16</v>
      </c>
      <c r="K144" s="4" t="s">
        <v>16</v>
      </c>
      <c r="L144" s="1" t="s">
        <v>23</v>
      </c>
      <c r="M144" s="1" t="s">
        <v>443</v>
      </c>
      <c r="N144" s="7" t="str">
        <f>IFERROR(VLOOKUP(#REF!,'2. Buzzi Admin Only'!N:O,2,0),"")</f>
        <v/>
      </c>
      <c r="O144" s="6" t="str">
        <f>IFERROR(VLOOKUP(K144,'2. Buzzi Admin Only'!Q:R,2,0),"")</f>
        <v/>
      </c>
    </row>
    <row r="145" spans="1:15" ht="15.75" customHeight="1" x14ac:dyDescent="0.25">
      <c r="A145" s="1" t="s">
        <v>444</v>
      </c>
      <c r="B145" s="1" t="s">
        <v>16</v>
      </c>
      <c r="C145" s="1" t="s">
        <v>16</v>
      </c>
      <c r="D145" s="2" t="s">
        <v>16</v>
      </c>
      <c r="E145" s="1" t="s">
        <v>16</v>
      </c>
      <c r="F145" s="1" t="s">
        <v>16</v>
      </c>
      <c r="G145" s="1" t="s">
        <v>16</v>
      </c>
      <c r="H145" s="1" t="s">
        <v>16</v>
      </c>
      <c r="I145" s="1" t="s">
        <v>16</v>
      </c>
      <c r="J145" s="1" t="s">
        <v>16</v>
      </c>
      <c r="K145" s="4" t="s">
        <v>16</v>
      </c>
      <c r="L145" s="1" t="s">
        <v>16</v>
      </c>
      <c r="M145" s="1" t="s">
        <v>16</v>
      </c>
      <c r="N145" s="7" t="str">
        <f>IFERROR(VLOOKUP(#REF!,'2. Buzzi Admin Only'!N:O,2,0),"")</f>
        <v/>
      </c>
      <c r="O145" s="6" t="str">
        <f>IFERROR(VLOOKUP(K145,'2. Buzzi Admin Only'!Q:R,2,0),"")</f>
        <v/>
      </c>
    </row>
    <row r="146" spans="1:15" ht="15.75" customHeight="1" x14ac:dyDescent="0.25">
      <c r="A146" s="1" t="s">
        <v>445</v>
      </c>
      <c r="B146" s="1" t="s">
        <v>16</v>
      </c>
      <c r="C146" s="1" t="s">
        <v>16</v>
      </c>
      <c r="D146" s="2" t="s">
        <v>16</v>
      </c>
      <c r="E146" s="1" t="s">
        <v>16</v>
      </c>
      <c r="F146" s="1" t="s">
        <v>16</v>
      </c>
      <c r="G146" s="1" t="s">
        <v>16</v>
      </c>
      <c r="H146" s="1" t="s">
        <v>16</v>
      </c>
      <c r="I146" s="1" t="s">
        <v>16</v>
      </c>
      <c r="J146" s="1" t="s">
        <v>16</v>
      </c>
      <c r="K146" s="4" t="s">
        <v>16</v>
      </c>
      <c r="L146" s="1" t="s">
        <v>23</v>
      </c>
      <c r="M146" s="1" t="s">
        <v>16</v>
      </c>
      <c r="N146" s="7" t="str">
        <f>IFERROR(VLOOKUP(#REF!,'2. Buzzi Admin Only'!N:O,2,0),"")</f>
        <v/>
      </c>
      <c r="O146" s="6" t="str">
        <f>IFERROR(VLOOKUP(K146,'2. Buzzi Admin Only'!Q:R,2,0),"")</f>
        <v/>
      </c>
    </row>
    <row r="147" spans="1:15" ht="15.75" customHeight="1" x14ac:dyDescent="0.25">
      <c r="A147" s="1" t="s">
        <v>446</v>
      </c>
      <c r="B147" s="1" t="s">
        <v>138</v>
      </c>
      <c r="C147" s="1" t="s">
        <v>16</v>
      </c>
      <c r="D147" s="2" t="s">
        <v>447</v>
      </c>
      <c r="E147" s="1" t="s">
        <v>19</v>
      </c>
      <c r="F147" s="1" t="s">
        <v>20</v>
      </c>
      <c r="G147" s="1" t="s">
        <v>28</v>
      </c>
      <c r="H147" s="1" t="s">
        <v>448</v>
      </c>
      <c r="I147" s="1" t="s">
        <v>16</v>
      </c>
      <c r="J147" s="1" t="s">
        <v>16</v>
      </c>
      <c r="K147" s="4" t="s">
        <v>16</v>
      </c>
      <c r="L147" s="1" t="s">
        <v>23</v>
      </c>
      <c r="M147" s="1" t="s">
        <v>58</v>
      </c>
      <c r="N147" s="7" t="str">
        <f>IFERROR(VLOOKUP(#REF!,'2. Buzzi Admin Only'!N:O,2,0),"")</f>
        <v/>
      </c>
      <c r="O147" s="6" t="str">
        <f>IFERROR(VLOOKUP(K147,'2. Buzzi Admin Only'!Q:R,2,0),"")</f>
        <v/>
      </c>
    </row>
    <row r="148" spans="1:15" ht="15.75" customHeight="1" x14ac:dyDescent="0.25">
      <c r="A148" s="1" t="s">
        <v>449</v>
      </c>
      <c r="B148" s="1" t="s">
        <v>16</v>
      </c>
      <c r="C148" s="1" t="s">
        <v>16</v>
      </c>
      <c r="D148" s="2" t="s">
        <v>16</v>
      </c>
      <c r="E148" s="1" t="s">
        <v>40</v>
      </c>
      <c r="F148" s="1" t="s">
        <v>20</v>
      </c>
      <c r="G148" s="1" t="s">
        <v>28</v>
      </c>
      <c r="H148" s="1" t="s">
        <v>16</v>
      </c>
      <c r="I148" s="1" t="s">
        <v>16</v>
      </c>
      <c r="J148" s="1" t="s">
        <v>16</v>
      </c>
      <c r="K148" s="4" t="s">
        <v>16</v>
      </c>
      <c r="L148" s="1" t="s">
        <v>71</v>
      </c>
      <c r="M148" s="1" t="s">
        <v>16</v>
      </c>
      <c r="N148" s="7" t="str">
        <f>IFERROR(VLOOKUP(#REF!,'2. Buzzi Admin Only'!N:O,2,0),"")</f>
        <v/>
      </c>
      <c r="O148" s="6" t="str">
        <f>IFERROR(VLOOKUP(K148,'2. Buzzi Admin Only'!Q:R,2,0),"")</f>
        <v/>
      </c>
    </row>
    <row r="149" spans="1:15" ht="15.75" customHeight="1" x14ac:dyDescent="0.25">
      <c r="A149" s="1" t="s">
        <v>450</v>
      </c>
      <c r="B149" s="1" t="s">
        <v>16</v>
      </c>
      <c r="C149" s="1" t="s">
        <v>16</v>
      </c>
      <c r="D149" s="2" t="s">
        <v>16</v>
      </c>
      <c r="E149" s="1" t="s">
        <v>16</v>
      </c>
      <c r="F149" s="1" t="s">
        <v>16</v>
      </c>
      <c r="G149" s="1" t="s">
        <v>16</v>
      </c>
      <c r="H149" s="1" t="s">
        <v>16</v>
      </c>
      <c r="I149" s="1" t="s">
        <v>16</v>
      </c>
      <c r="J149" s="1" t="s">
        <v>16</v>
      </c>
      <c r="K149" s="4" t="s">
        <v>16</v>
      </c>
      <c r="L149" s="1" t="s">
        <v>23</v>
      </c>
      <c r="M149" s="1" t="s">
        <v>16</v>
      </c>
      <c r="N149" s="7" t="str">
        <f>IFERROR(VLOOKUP(#REF!,'2. Buzzi Admin Only'!N:O,2,0),"")</f>
        <v/>
      </c>
      <c r="O149" s="6" t="str">
        <f>IFERROR(VLOOKUP(K149,'2. Buzzi Admin Only'!Q:R,2,0),"")</f>
        <v/>
      </c>
    </row>
    <row r="150" spans="1:15" ht="15.75" customHeight="1" x14ac:dyDescent="0.25">
      <c r="A150" s="1" t="s">
        <v>451</v>
      </c>
      <c r="B150" s="1" t="s">
        <v>452</v>
      </c>
      <c r="C150" s="1" t="s">
        <v>16</v>
      </c>
      <c r="D150" s="2" t="s">
        <v>453</v>
      </c>
      <c r="E150" s="1" t="s">
        <v>454</v>
      </c>
      <c r="F150" s="1" t="s">
        <v>20</v>
      </c>
      <c r="G150" s="1" t="s">
        <v>28</v>
      </c>
      <c r="H150" s="1" t="s">
        <v>16</v>
      </c>
      <c r="I150" s="1" t="s">
        <v>16</v>
      </c>
      <c r="J150" s="1" t="s">
        <v>16</v>
      </c>
      <c r="K150" s="4" t="s">
        <v>16</v>
      </c>
      <c r="L150" s="1" t="s">
        <v>23</v>
      </c>
      <c r="M150" s="1" t="s">
        <v>455</v>
      </c>
      <c r="N150" s="7" t="str">
        <f>IFERROR(VLOOKUP(#REF!,'2. Buzzi Admin Only'!N:O,2,0),"")</f>
        <v/>
      </c>
      <c r="O150" s="6" t="str">
        <f>IFERROR(VLOOKUP(K150,'2. Buzzi Admin Only'!Q:R,2,0),"")</f>
        <v/>
      </c>
    </row>
    <row r="151" spans="1:15" ht="15.75" customHeight="1" x14ac:dyDescent="0.25">
      <c r="A151" s="1" t="s">
        <v>456</v>
      </c>
      <c r="B151" s="1" t="s">
        <v>16</v>
      </c>
      <c r="C151" s="1" t="s">
        <v>16</v>
      </c>
      <c r="D151" s="2" t="s">
        <v>16</v>
      </c>
      <c r="E151" s="1" t="s">
        <v>457</v>
      </c>
      <c r="F151" s="1" t="s">
        <v>20</v>
      </c>
      <c r="G151" s="1" t="s">
        <v>21</v>
      </c>
      <c r="H151" s="1" t="s">
        <v>458</v>
      </c>
      <c r="I151" s="1" t="s">
        <v>16</v>
      </c>
      <c r="J151" s="1" t="s">
        <v>16</v>
      </c>
      <c r="K151" s="4" t="s">
        <v>16</v>
      </c>
      <c r="L151" s="1" t="s">
        <v>23</v>
      </c>
      <c r="M151" s="1" t="s">
        <v>16</v>
      </c>
      <c r="N151" s="7" t="str">
        <f>IFERROR(VLOOKUP(#REF!,'2. Buzzi Admin Only'!N:O,2,0),"")</f>
        <v/>
      </c>
      <c r="O151" s="6" t="str">
        <f>IFERROR(VLOOKUP(K151,'2. Buzzi Admin Only'!Q:R,2,0),"")</f>
        <v/>
      </c>
    </row>
    <row r="152" spans="1:15" ht="15.75" customHeight="1" x14ac:dyDescent="0.25">
      <c r="A152" s="1" t="s">
        <v>459</v>
      </c>
      <c r="B152" s="1" t="s">
        <v>138</v>
      </c>
      <c r="C152" s="1" t="s">
        <v>16</v>
      </c>
      <c r="D152" s="2" t="s">
        <v>460</v>
      </c>
      <c r="E152" s="1" t="s">
        <v>19</v>
      </c>
      <c r="F152" s="1" t="s">
        <v>20</v>
      </c>
      <c r="G152" s="1" t="s">
        <v>28</v>
      </c>
      <c r="H152" s="1" t="s">
        <v>461</v>
      </c>
      <c r="I152" s="1" t="s">
        <v>16</v>
      </c>
      <c r="J152" s="1" t="s">
        <v>16</v>
      </c>
      <c r="K152" s="4" t="s">
        <v>16</v>
      </c>
      <c r="L152" s="1" t="s">
        <v>23</v>
      </c>
      <c r="M152" s="1" t="s">
        <v>58</v>
      </c>
      <c r="N152" s="7" t="str">
        <f>IFERROR(VLOOKUP(#REF!,'2. Buzzi Admin Only'!N:O,2,0),"")</f>
        <v/>
      </c>
      <c r="O152" s="6" t="str">
        <f>IFERROR(VLOOKUP(K152,'2. Buzzi Admin Only'!Q:R,2,0),"")</f>
        <v/>
      </c>
    </row>
    <row r="153" spans="1:15" ht="15.75" customHeight="1" x14ac:dyDescent="0.25">
      <c r="A153" s="1" t="s">
        <v>462</v>
      </c>
      <c r="B153" s="1" t="s">
        <v>16</v>
      </c>
      <c r="C153" s="1" t="s">
        <v>16</v>
      </c>
      <c r="D153" s="2" t="s">
        <v>16</v>
      </c>
      <c r="E153" s="1" t="s">
        <v>40</v>
      </c>
      <c r="F153" s="1" t="s">
        <v>20</v>
      </c>
      <c r="G153" s="1" t="s">
        <v>21</v>
      </c>
      <c r="H153" s="1" t="s">
        <v>16</v>
      </c>
      <c r="I153" s="1" t="s">
        <v>16</v>
      </c>
      <c r="J153" s="1" t="s">
        <v>16</v>
      </c>
      <c r="K153" s="4" t="s">
        <v>16</v>
      </c>
      <c r="L153" s="1" t="s">
        <v>23</v>
      </c>
      <c r="M153" s="1" t="s">
        <v>16</v>
      </c>
      <c r="N153" s="7" t="str">
        <f>IFERROR(VLOOKUP(#REF!,'2. Buzzi Admin Only'!N:O,2,0),"")</f>
        <v/>
      </c>
      <c r="O153" s="6" t="str">
        <f>IFERROR(VLOOKUP(K153,'2. Buzzi Admin Only'!Q:R,2,0),"")</f>
        <v/>
      </c>
    </row>
    <row r="154" spans="1:15" ht="15.75" customHeight="1" x14ac:dyDescent="0.25">
      <c r="A154" s="1" t="s">
        <v>463</v>
      </c>
      <c r="B154" s="1" t="s">
        <v>38</v>
      </c>
      <c r="C154" s="1" t="s">
        <v>145</v>
      </c>
      <c r="D154" s="2" t="s">
        <v>464</v>
      </c>
      <c r="E154" s="1" t="s">
        <v>465</v>
      </c>
      <c r="F154" s="1" t="s">
        <v>20</v>
      </c>
      <c r="G154" s="1" t="s">
        <v>28</v>
      </c>
      <c r="H154" s="1" t="s">
        <v>16</v>
      </c>
      <c r="I154" s="1" t="s">
        <v>16</v>
      </c>
      <c r="J154" s="1" t="s">
        <v>16</v>
      </c>
      <c r="K154" s="4" t="s">
        <v>16</v>
      </c>
      <c r="L154" s="1" t="s">
        <v>23</v>
      </c>
      <c r="M154" s="1" t="s">
        <v>466</v>
      </c>
      <c r="N154" s="7" t="str">
        <f>IFERROR(VLOOKUP(#REF!,'2. Buzzi Admin Only'!N:O,2,0),"")</f>
        <v/>
      </c>
      <c r="O154" s="6" t="str">
        <f>IFERROR(VLOOKUP(K154,'2. Buzzi Admin Only'!Q:R,2,0),"")</f>
        <v/>
      </c>
    </row>
    <row r="155" spans="1:15" ht="15.75" customHeight="1" x14ac:dyDescent="0.25">
      <c r="A155" s="1" t="s">
        <v>467</v>
      </c>
      <c r="B155" s="1" t="s">
        <v>138</v>
      </c>
      <c r="C155" s="1" t="s">
        <v>367</v>
      </c>
      <c r="D155" s="2" t="s">
        <v>468</v>
      </c>
      <c r="E155" s="1" t="s">
        <v>469</v>
      </c>
      <c r="F155" s="1" t="s">
        <v>20</v>
      </c>
      <c r="G155" s="1" t="s">
        <v>44</v>
      </c>
      <c r="H155" s="1" t="s">
        <v>470</v>
      </c>
      <c r="I155" s="1" t="s">
        <v>16</v>
      </c>
      <c r="J155" s="1" t="s">
        <v>57</v>
      </c>
      <c r="K155" s="4" t="s">
        <v>16</v>
      </c>
      <c r="L155" s="1" t="s">
        <v>23</v>
      </c>
      <c r="M155" s="1" t="s">
        <v>58</v>
      </c>
      <c r="N155" s="7" t="str">
        <f>IFERROR(VLOOKUP(#REF!,'2. Buzzi Admin Only'!N:O,2,0),"")</f>
        <v/>
      </c>
      <c r="O155" s="6" t="str">
        <f>IFERROR(VLOOKUP(K155,'2. Buzzi Admin Only'!Q:R,2,0),"")</f>
        <v/>
      </c>
    </row>
    <row r="156" spans="1:15" ht="15.75" customHeight="1" x14ac:dyDescent="0.25">
      <c r="A156" s="1" t="s">
        <v>471</v>
      </c>
      <c r="B156" s="1" t="s">
        <v>38</v>
      </c>
      <c r="C156" s="1" t="s">
        <v>16</v>
      </c>
      <c r="D156" s="2" t="s">
        <v>472</v>
      </c>
      <c r="E156" s="1" t="s">
        <v>473</v>
      </c>
      <c r="F156" s="1" t="s">
        <v>20</v>
      </c>
      <c r="G156" s="1" t="s">
        <v>21</v>
      </c>
      <c r="H156" s="1" t="s">
        <v>16</v>
      </c>
      <c r="I156" s="1" t="s">
        <v>16</v>
      </c>
      <c r="J156" s="1" t="s">
        <v>57</v>
      </c>
      <c r="K156" s="4" t="s">
        <v>16</v>
      </c>
      <c r="L156" s="1" t="s">
        <v>23</v>
      </c>
      <c r="M156" s="1" t="s">
        <v>58</v>
      </c>
      <c r="N156" s="7" t="str">
        <f>IFERROR(VLOOKUP(#REF!,'2. Buzzi Admin Only'!N:O,2,0),"")</f>
        <v/>
      </c>
      <c r="O156" s="6" t="str">
        <f>IFERROR(VLOOKUP(K156,'2. Buzzi Admin Only'!Q:R,2,0),"")</f>
        <v/>
      </c>
    </row>
    <row r="157" spans="1:15" ht="15.75" customHeight="1" x14ac:dyDescent="0.25">
      <c r="A157" s="1" t="s">
        <v>474</v>
      </c>
      <c r="B157" s="1" t="s">
        <v>38</v>
      </c>
      <c r="C157" s="1" t="s">
        <v>16</v>
      </c>
      <c r="D157" s="2" t="s">
        <v>386</v>
      </c>
      <c r="E157" s="1" t="s">
        <v>475</v>
      </c>
      <c r="F157" s="1" t="s">
        <v>20</v>
      </c>
      <c r="G157" s="1" t="s">
        <v>28</v>
      </c>
      <c r="H157" s="1" t="s">
        <v>16</v>
      </c>
      <c r="I157" s="1" t="s">
        <v>16</v>
      </c>
      <c r="J157" s="1" t="s">
        <v>16</v>
      </c>
      <c r="K157" s="4" t="s">
        <v>16</v>
      </c>
      <c r="L157" s="1" t="s">
        <v>23</v>
      </c>
      <c r="M157" s="1" t="s">
        <v>476</v>
      </c>
      <c r="N157" s="7" t="str">
        <f>IFERROR(VLOOKUP(#REF!,'2. Buzzi Admin Only'!N:O,2,0),"")</f>
        <v/>
      </c>
      <c r="O157" s="6" t="str">
        <f>IFERROR(VLOOKUP(K157,'2. Buzzi Admin Only'!Q:R,2,0),"")</f>
        <v/>
      </c>
    </row>
    <row r="158" spans="1:15" ht="15.75" customHeight="1" x14ac:dyDescent="0.25">
      <c r="A158" s="1" t="s">
        <v>477</v>
      </c>
      <c r="B158" s="1" t="s">
        <v>16</v>
      </c>
      <c r="C158" s="1" t="s">
        <v>402</v>
      </c>
      <c r="D158" s="2" t="s">
        <v>478</v>
      </c>
      <c r="E158" s="1" t="s">
        <v>479</v>
      </c>
      <c r="F158" s="1" t="s">
        <v>20</v>
      </c>
      <c r="G158" s="1" t="s">
        <v>194</v>
      </c>
      <c r="H158" s="1" t="s">
        <v>480</v>
      </c>
      <c r="I158" s="1" t="s">
        <v>16</v>
      </c>
      <c r="J158" s="1" t="s">
        <v>16</v>
      </c>
      <c r="K158" s="4" t="s">
        <v>16</v>
      </c>
      <c r="L158" s="1" t="s">
        <v>23</v>
      </c>
      <c r="M158" s="1" t="s">
        <v>481</v>
      </c>
      <c r="N158" s="7" t="str">
        <f>IFERROR(VLOOKUP(#REF!,'2. Buzzi Admin Only'!N:O,2,0),"")</f>
        <v/>
      </c>
      <c r="O158" s="6" t="str">
        <f>IFERROR(VLOOKUP(K158,'2. Buzzi Admin Only'!Q:R,2,0),"")</f>
        <v/>
      </c>
    </row>
    <row r="159" spans="1:15" ht="15.75" customHeight="1" x14ac:dyDescent="0.25">
      <c r="A159" s="1" t="s">
        <v>482</v>
      </c>
      <c r="B159" s="1" t="s">
        <v>16</v>
      </c>
      <c r="C159" s="1" t="s">
        <v>16</v>
      </c>
      <c r="D159" s="2" t="s">
        <v>16</v>
      </c>
      <c r="E159" s="1" t="s">
        <v>16</v>
      </c>
      <c r="F159" s="1" t="s">
        <v>16</v>
      </c>
      <c r="G159" s="1" t="s">
        <v>16</v>
      </c>
      <c r="H159" s="1" t="s">
        <v>16</v>
      </c>
      <c r="I159" s="1" t="s">
        <v>16</v>
      </c>
      <c r="J159" s="1" t="s">
        <v>16</v>
      </c>
      <c r="K159" s="4" t="s">
        <v>16</v>
      </c>
      <c r="L159" s="1" t="s">
        <v>16</v>
      </c>
      <c r="M159" s="1" t="s">
        <v>16</v>
      </c>
      <c r="N159" s="7" t="str">
        <f>IFERROR(VLOOKUP(#REF!,'2. Buzzi Admin Only'!N:O,2,0),"")</f>
        <v/>
      </c>
      <c r="O159" s="6" t="str">
        <f>IFERROR(VLOOKUP(K159,'2. Buzzi Admin Only'!Q:R,2,0),"")</f>
        <v/>
      </c>
    </row>
    <row r="160" spans="1:15" ht="15.75" customHeight="1" x14ac:dyDescent="0.25">
      <c r="A160" s="1" t="s">
        <v>483</v>
      </c>
      <c r="B160" s="1" t="s">
        <v>138</v>
      </c>
      <c r="C160" s="1" t="s">
        <v>16</v>
      </c>
      <c r="D160" s="2" t="s">
        <v>484</v>
      </c>
      <c r="E160" s="1" t="s">
        <v>485</v>
      </c>
      <c r="F160" s="1" t="s">
        <v>20</v>
      </c>
      <c r="G160" s="1" t="s">
        <v>21</v>
      </c>
      <c r="H160" s="1" t="s">
        <v>486</v>
      </c>
      <c r="I160" s="1" t="s">
        <v>16</v>
      </c>
      <c r="J160" s="1" t="s">
        <v>57</v>
      </c>
      <c r="K160" s="10">
        <v>700</v>
      </c>
      <c r="L160" s="1" t="s">
        <v>23</v>
      </c>
      <c r="M160" s="1" t="s">
        <v>58</v>
      </c>
      <c r="N160" s="7" t="str">
        <f>IFERROR(VLOOKUP(#REF!,'2. Buzzi Admin Only'!N:O,2,0),"")</f>
        <v/>
      </c>
      <c r="O160" s="6" t="str">
        <f>IFERROR(VLOOKUP(K160,'2. Buzzi Admin Only'!Q:R,2,0),"")</f>
        <v>Power Generation (Turbines, Boilers)</v>
      </c>
    </row>
    <row r="161" spans="1:15" ht="15.75" customHeight="1" x14ac:dyDescent="0.25">
      <c r="A161" s="1" t="s">
        <v>487</v>
      </c>
      <c r="B161" s="1" t="s">
        <v>16</v>
      </c>
      <c r="C161" s="1" t="s">
        <v>16</v>
      </c>
      <c r="D161" s="2" t="s">
        <v>16</v>
      </c>
      <c r="E161" s="1" t="s">
        <v>488</v>
      </c>
      <c r="F161" s="1" t="s">
        <v>20</v>
      </c>
      <c r="G161" s="1" t="s">
        <v>28</v>
      </c>
      <c r="H161" s="1" t="s">
        <v>16</v>
      </c>
      <c r="I161" s="1" t="s">
        <v>16</v>
      </c>
      <c r="J161" s="1" t="s">
        <v>16</v>
      </c>
      <c r="K161" s="4" t="s">
        <v>16</v>
      </c>
      <c r="L161" s="1" t="s">
        <v>489</v>
      </c>
      <c r="M161" s="1" t="s">
        <v>490</v>
      </c>
      <c r="N161" s="7" t="str">
        <f>IFERROR(VLOOKUP(#REF!,'2. Buzzi Admin Only'!N:O,2,0),"")</f>
        <v/>
      </c>
      <c r="O161" s="6" t="str">
        <f>IFERROR(VLOOKUP(K161,'2. Buzzi Admin Only'!Q:R,2,0),"")</f>
        <v/>
      </c>
    </row>
    <row r="162" spans="1:15" ht="15.75" customHeight="1" x14ac:dyDescent="0.25">
      <c r="A162" s="1" t="s">
        <v>491</v>
      </c>
      <c r="B162" s="1" t="s">
        <v>16</v>
      </c>
      <c r="C162" s="1" t="s">
        <v>402</v>
      </c>
      <c r="D162" s="2" t="s">
        <v>492</v>
      </c>
      <c r="E162" s="1" t="s">
        <v>479</v>
      </c>
      <c r="F162" s="1" t="s">
        <v>20</v>
      </c>
      <c r="G162" s="1" t="s">
        <v>194</v>
      </c>
      <c r="H162" s="1" t="s">
        <v>493</v>
      </c>
      <c r="I162" s="1" t="s">
        <v>16</v>
      </c>
      <c r="J162" s="1" t="s">
        <v>16</v>
      </c>
      <c r="K162" s="4" t="s">
        <v>16</v>
      </c>
      <c r="L162" s="1" t="s">
        <v>23</v>
      </c>
      <c r="M162" s="1" t="s">
        <v>481</v>
      </c>
      <c r="N162" s="7" t="str">
        <f>IFERROR(VLOOKUP(#REF!,'2. Buzzi Admin Only'!N:O,2,0),"")</f>
        <v/>
      </c>
      <c r="O162" s="6" t="str">
        <f>IFERROR(VLOOKUP(K162,'2. Buzzi Admin Only'!Q:R,2,0),"")</f>
        <v/>
      </c>
    </row>
    <row r="163" spans="1:15" ht="15.75" customHeight="1" x14ac:dyDescent="0.25">
      <c r="A163" s="1" t="s">
        <v>494</v>
      </c>
      <c r="B163" s="1" t="s">
        <v>138</v>
      </c>
      <c r="C163" s="1" t="s">
        <v>16</v>
      </c>
      <c r="D163" s="2" t="s">
        <v>495</v>
      </c>
      <c r="E163" s="1" t="s">
        <v>496</v>
      </c>
      <c r="F163" s="1" t="s">
        <v>20</v>
      </c>
      <c r="G163" s="1" t="s">
        <v>21</v>
      </c>
      <c r="H163" s="1" t="s">
        <v>16</v>
      </c>
      <c r="I163" s="1" t="s">
        <v>16</v>
      </c>
      <c r="J163" s="1" t="s">
        <v>16</v>
      </c>
      <c r="K163" s="4" t="s">
        <v>16</v>
      </c>
      <c r="L163" s="1" t="s">
        <v>23</v>
      </c>
      <c r="M163" s="1" t="s">
        <v>58</v>
      </c>
      <c r="N163" s="7" t="str">
        <f>IFERROR(VLOOKUP(#REF!,'2. Buzzi Admin Only'!N:O,2,0),"")</f>
        <v/>
      </c>
      <c r="O163" s="6" t="str">
        <f>IFERROR(VLOOKUP(K163,'2. Buzzi Admin Only'!Q:R,2,0),"")</f>
        <v/>
      </c>
    </row>
    <row r="164" spans="1:15" ht="15.75" customHeight="1" x14ac:dyDescent="0.25">
      <c r="A164" s="1" t="s">
        <v>497</v>
      </c>
      <c r="B164" s="1" t="s">
        <v>16</v>
      </c>
      <c r="C164" s="1" t="s">
        <v>16</v>
      </c>
      <c r="D164" s="2" t="s">
        <v>498</v>
      </c>
      <c r="E164" s="1" t="s">
        <v>499</v>
      </c>
      <c r="F164" s="1" t="s">
        <v>20</v>
      </c>
      <c r="G164" s="1" t="s">
        <v>28</v>
      </c>
      <c r="H164" s="1" t="s">
        <v>16</v>
      </c>
      <c r="I164" s="1" t="s">
        <v>16</v>
      </c>
      <c r="J164" s="1" t="s">
        <v>16</v>
      </c>
      <c r="K164" s="4" t="s">
        <v>16</v>
      </c>
      <c r="L164" s="1" t="s">
        <v>23</v>
      </c>
      <c r="M164" s="1" t="s">
        <v>16</v>
      </c>
      <c r="N164" s="7" t="str">
        <f>IFERROR(VLOOKUP(#REF!,'2. Buzzi Admin Only'!N:O,2,0),"")</f>
        <v/>
      </c>
      <c r="O164" s="6" t="str">
        <f>IFERROR(VLOOKUP(K164,'2. Buzzi Admin Only'!Q:R,2,0),"")</f>
        <v/>
      </c>
    </row>
    <row r="165" spans="1:15" ht="15.75" customHeight="1" x14ac:dyDescent="0.25">
      <c r="A165" s="1" t="s">
        <v>500</v>
      </c>
      <c r="B165" s="1" t="s">
        <v>38</v>
      </c>
      <c r="C165" s="1" t="s">
        <v>16</v>
      </c>
      <c r="D165" s="2" t="s">
        <v>501</v>
      </c>
      <c r="E165" s="1" t="s">
        <v>502</v>
      </c>
      <c r="F165" s="1" t="s">
        <v>20</v>
      </c>
      <c r="G165" s="1" t="s">
        <v>44</v>
      </c>
      <c r="H165" s="1" t="s">
        <v>16</v>
      </c>
      <c r="I165" s="1" t="s">
        <v>16</v>
      </c>
      <c r="J165" s="1" t="s">
        <v>16</v>
      </c>
      <c r="K165" s="4" t="s">
        <v>16</v>
      </c>
      <c r="L165" s="1" t="s">
        <v>23</v>
      </c>
      <c r="M165" s="1" t="s">
        <v>503</v>
      </c>
      <c r="N165" s="7" t="str">
        <f>IFERROR(VLOOKUP(#REF!,'2. Buzzi Admin Only'!N:O,2,0),"")</f>
        <v/>
      </c>
      <c r="O165" s="6" t="str">
        <f>IFERROR(VLOOKUP(K165,'2. Buzzi Admin Only'!Q:R,2,0),"")</f>
        <v/>
      </c>
    </row>
    <row r="166" spans="1:15" ht="15.75" customHeight="1" x14ac:dyDescent="0.25">
      <c r="A166" s="1" t="s">
        <v>504</v>
      </c>
      <c r="B166" s="1" t="s">
        <v>16</v>
      </c>
      <c r="C166" s="1" t="s">
        <v>145</v>
      </c>
      <c r="D166" s="2" t="s">
        <v>357</v>
      </c>
      <c r="E166" s="1" t="s">
        <v>78</v>
      </c>
      <c r="F166" s="1" t="s">
        <v>20</v>
      </c>
      <c r="G166" s="1" t="s">
        <v>21</v>
      </c>
      <c r="H166" s="1" t="s">
        <v>16</v>
      </c>
      <c r="I166" s="1" t="s">
        <v>16</v>
      </c>
      <c r="J166" s="1" t="s">
        <v>16</v>
      </c>
      <c r="K166" s="4" t="s">
        <v>16</v>
      </c>
      <c r="L166" s="1" t="s">
        <v>23</v>
      </c>
      <c r="M166" s="1" t="s">
        <v>58</v>
      </c>
      <c r="N166" s="7" t="str">
        <f>IFERROR(VLOOKUP(#REF!,'2. Buzzi Admin Only'!N:O,2,0),"")</f>
        <v/>
      </c>
      <c r="O166" s="6" t="str">
        <f>IFERROR(VLOOKUP(K166,'2. Buzzi Admin Only'!Q:R,2,0),"")</f>
        <v/>
      </c>
    </row>
    <row r="167" spans="1:15" ht="15.75" customHeight="1" x14ac:dyDescent="0.25">
      <c r="A167" s="1" t="s">
        <v>505</v>
      </c>
      <c r="B167" s="1" t="s">
        <v>16</v>
      </c>
      <c r="C167" s="1" t="s">
        <v>16</v>
      </c>
      <c r="D167" s="2" t="s">
        <v>16</v>
      </c>
      <c r="E167" s="1" t="s">
        <v>16</v>
      </c>
      <c r="F167" s="1" t="s">
        <v>16</v>
      </c>
      <c r="G167" s="1" t="s">
        <v>16</v>
      </c>
      <c r="H167" s="1" t="s">
        <v>16</v>
      </c>
      <c r="I167" s="1" t="s">
        <v>16</v>
      </c>
      <c r="J167" s="1" t="s">
        <v>16</v>
      </c>
      <c r="K167" s="4" t="s">
        <v>16</v>
      </c>
      <c r="L167" s="1" t="s">
        <v>16</v>
      </c>
      <c r="M167" s="1" t="s">
        <v>16</v>
      </c>
      <c r="N167" s="7" t="str">
        <f>IFERROR(VLOOKUP(#REF!,'2. Buzzi Admin Only'!N:O,2,0),"")</f>
        <v/>
      </c>
      <c r="O167" s="6" t="str">
        <f>IFERROR(VLOOKUP(K167,'2. Buzzi Admin Only'!Q:R,2,0),"")</f>
        <v/>
      </c>
    </row>
    <row r="168" spans="1:15" ht="15.75" customHeight="1" x14ac:dyDescent="0.25">
      <c r="A168" s="1" t="s">
        <v>506</v>
      </c>
      <c r="B168" s="1" t="s">
        <v>16</v>
      </c>
      <c r="C168" s="1" t="s">
        <v>16</v>
      </c>
      <c r="D168" s="2" t="s">
        <v>16</v>
      </c>
      <c r="E168" s="1" t="s">
        <v>16</v>
      </c>
      <c r="F168" s="1" t="s">
        <v>16</v>
      </c>
      <c r="G168" s="1" t="s">
        <v>16</v>
      </c>
      <c r="H168" s="1" t="s">
        <v>16</v>
      </c>
      <c r="I168" s="1" t="s">
        <v>16</v>
      </c>
      <c r="J168" s="1" t="s">
        <v>16</v>
      </c>
      <c r="K168" s="4" t="s">
        <v>16</v>
      </c>
      <c r="L168" s="1" t="s">
        <v>16</v>
      </c>
      <c r="M168" s="1" t="s">
        <v>16</v>
      </c>
      <c r="N168" s="7" t="str">
        <f>IFERROR(VLOOKUP(#REF!,'2. Buzzi Admin Only'!N:O,2,0),"")</f>
        <v/>
      </c>
      <c r="O168" s="6" t="str">
        <f>IFERROR(VLOOKUP(K168,'2. Buzzi Admin Only'!Q:R,2,0),"")</f>
        <v/>
      </c>
    </row>
    <row r="169" spans="1:15" ht="15.75" customHeight="1" x14ac:dyDescent="0.25">
      <c r="A169" s="1" t="s">
        <v>507</v>
      </c>
      <c r="B169" s="1" t="s">
        <v>16</v>
      </c>
      <c r="C169" s="1" t="s">
        <v>16</v>
      </c>
      <c r="D169" s="2" t="s">
        <v>16</v>
      </c>
      <c r="E169" s="1" t="s">
        <v>19</v>
      </c>
      <c r="F169" s="1" t="s">
        <v>20</v>
      </c>
      <c r="G169" s="1" t="s">
        <v>28</v>
      </c>
      <c r="H169" s="1" t="s">
        <v>508</v>
      </c>
      <c r="I169" s="1" t="s">
        <v>16</v>
      </c>
      <c r="J169" s="1" t="s">
        <v>16</v>
      </c>
      <c r="K169" s="4" t="s">
        <v>16</v>
      </c>
      <c r="L169" s="1" t="s">
        <v>23</v>
      </c>
      <c r="M169" s="1" t="s">
        <v>16</v>
      </c>
      <c r="N169" s="7" t="str">
        <f>IFERROR(VLOOKUP(#REF!,'2. Buzzi Admin Only'!N:O,2,0),"")</f>
        <v/>
      </c>
      <c r="O169" s="6" t="str">
        <f>IFERROR(VLOOKUP(K169,'2. Buzzi Admin Only'!Q:R,2,0),"")</f>
        <v/>
      </c>
    </row>
    <row r="170" spans="1:15" ht="15.75" customHeight="1" x14ac:dyDescent="0.25">
      <c r="A170" s="1" t="s">
        <v>509</v>
      </c>
      <c r="B170" s="1" t="s">
        <v>16</v>
      </c>
      <c r="C170" s="1" t="s">
        <v>60</v>
      </c>
      <c r="D170" s="2" t="s">
        <v>510</v>
      </c>
      <c r="E170" s="1" t="s">
        <v>511</v>
      </c>
      <c r="F170" s="1" t="s">
        <v>141</v>
      </c>
      <c r="G170" s="1" t="s">
        <v>194</v>
      </c>
      <c r="H170" s="1" t="s">
        <v>512</v>
      </c>
      <c r="I170" s="1" t="s">
        <v>16</v>
      </c>
      <c r="J170" s="1" t="s">
        <v>16</v>
      </c>
      <c r="K170" s="4" t="s">
        <v>16</v>
      </c>
      <c r="L170" s="1" t="s">
        <v>271</v>
      </c>
      <c r="M170" s="1" t="s">
        <v>196</v>
      </c>
      <c r="N170" s="7" t="str">
        <f>IFERROR(VLOOKUP(#REF!,'2. Buzzi Admin Only'!N:O,2,0),"")</f>
        <v/>
      </c>
      <c r="O170" s="6" t="str">
        <f>IFERROR(VLOOKUP(K170,'2. Buzzi Admin Only'!Q:R,2,0),"")</f>
        <v/>
      </c>
    </row>
    <row r="171" spans="1:15" ht="15.75" customHeight="1" x14ac:dyDescent="0.25">
      <c r="A171" s="1" t="s">
        <v>513</v>
      </c>
      <c r="B171" s="1" t="s">
        <v>138</v>
      </c>
      <c r="C171" s="1" t="s">
        <v>16</v>
      </c>
      <c r="D171" s="2" t="s">
        <v>514</v>
      </c>
      <c r="E171" s="1" t="s">
        <v>515</v>
      </c>
      <c r="F171" s="1" t="s">
        <v>20</v>
      </c>
      <c r="G171" s="1" t="s">
        <v>21</v>
      </c>
      <c r="H171" s="1" t="s">
        <v>16</v>
      </c>
      <c r="I171" s="1" t="s">
        <v>16</v>
      </c>
      <c r="J171" s="1" t="s">
        <v>16</v>
      </c>
      <c r="K171" s="4" t="s">
        <v>16</v>
      </c>
      <c r="L171" s="1" t="s">
        <v>23</v>
      </c>
      <c r="M171" s="1" t="s">
        <v>516</v>
      </c>
      <c r="N171" s="7" t="str">
        <f>IFERROR(VLOOKUP(#REF!,'2. Buzzi Admin Only'!N:O,2,0),"")</f>
        <v/>
      </c>
      <c r="O171" s="6" t="str">
        <f>IFERROR(VLOOKUP(K171,'2. Buzzi Admin Only'!Q:R,2,0),"")</f>
        <v/>
      </c>
    </row>
    <row r="172" spans="1:15" ht="15.75" customHeight="1" x14ac:dyDescent="0.25">
      <c r="A172" s="1" t="s">
        <v>517</v>
      </c>
      <c r="B172" s="1" t="s">
        <v>158</v>
      </c>
      <c r="C172" s="1" t="s">
        <v>367</v>
      </c>
      <c r="D172" s="2" t="s">
        <v>453</v>
      </c>
      <c r="E172" s="1" t="s">
        <v>518</v>
      </c>
      <c r="F172" s="1" t="s">
        <v>20</v>
      </c>
      <c r="G172" s="1" t="s">
        <v>28</v>
      </c>
      <c r="H172" s="1" t="s">
        <v>16</v>
      </c>
      <c r="I172" s="1" t="s">
        <v>16</v>
      </c>
      <c r="J172" s="1" t="s">
        <v>57</v>
      </c>
      <c r="K172" s="4" t="s">
        <v>16</v>
      </c>
      <c r="L172" s="1" t="s">
        <v>23</v>
      </c>
      <c r="M172" s="1" t="s">
        <v>519</v>
      </c>
      <c r="N172" s="7" t="str">
        <f>IFERROR(VLOOKUP(#REF!,'2. Buzzi Admin Only'!N:O,2,0),"")</f>
        <v/>
      </c>
      <c r="O172" s="6" t="str">
        <f>IFERROR(VLOOKUP(K172,'2. Buzzi Admin Only'!Q:R,2,0),"")</f>
        <v/>
      </c>
    </row>
    <row r="173" spans="1:15" ht="15.75" customHeight="1" x14ac:dyDescent="0.25">
      <c r="A173" s="1" t="s">
        <v>520</v>
      </c>
      <c r="B173" s="1" t="s">
        <v>16</v>
      </c>
      <c r="C173" s="1" t="s">
        <v>16</v>
      </c>
      <c r="D173" s="2" t="s">
        <v>16</v>
      </c>
      <c r="E173" s="1" t="s">
        <v>16</v>
      </c>
      <c r="F173" s="1" t="s">
        <v>16</v>
      </c>
      <c r="G173" s="1" t="s">
        <v>16</v>
      </c>
      <c r="H173" s="1" t="s">
        <v>16</v>
      </c>
      <c r="I173" s="1" t="s">
        <v>16</v>
      </c>
      <c r="J173" s="1" t="s">
        <v>16</v>
      </c>
      <c r="K173" s="4" t="s">
        <v>16</v>
      </c>
      <c r="L173" s="1" t="s">
        <v>16</v>
      </c>
      <c r="M173" s="1" t="s">
        <v>16</v>
      </c>
      <c r="N173" s="7" t="str">
        <f>IFERROR(VLOOKUP(#REF!,'2. Buzzi Admin Only'!N:O,2,0),"")</f>
        <v/>
      </c>
      <c r="O173" s="6" t="str">
        <f>IFERROR(VLOOKUP(K173,'2. Buzzi Admin Only'!Q:R,2,0),"")</f>
        <v/>
      </c>
    </row>
    <row r="174" spans="1:15" ht="15.75" customHeight="1" x14ac:dyDescent="0.25">
      <c r="A174" s="1" t="s">
        <v>521</v>
      </c>
      <c r="B174" s="1" t="s">
        <v>16</v>
      </c>
      <c r="C174" s="1" t="s">
        <v>16</v>
      </c>
      <c r="D174" s="2" t="s">
        <v>522</v>
      </c>
      <c r="E174" s="1" t="s">
        <v>523</v>
      </c>
      <c r="F174" s="1" t="s">
        <v>20</v>
      </c>
      <c r="G174" s="1" t="s">
        <v>28</v>
      </c>
      <c r="H174" s="1" t="s">
        <v>16</v>
      </c>
      <c r="I174" s="1" t="s">
        <v>16</v>
      </c>
      <c r="J174" s="1" t="s">
        <v>16</v>
      </c>
      <c r="K174" s="4" t="s">
        <v>16</v>
      </c>
      <c r="L174" s="1" t="s">
        <v>23</v>
      </c>
      <c r="M174" s="1" t="s">
        <v>524</v>
      </c>
      <c r="N174" s="7" t="str">
        <f>IFERROR(VLOOKUP(#REF!,'2. Buzzi Admin Only'!N:O,2,0),"")</f>
        <v/>
      </c>
      <c r="O174" s="6" t="str">
        <f>IFERROR(VLOOKUP(K174,'2. Buzzi Admin Only'!Q:R,2,0),"")</f>
        <v/>
      </c>
    </row>
    <row r="175" spans="1:15" ht="15.75" customHeight="1" x14ac:dyDescent="0.25">
      <c r="A175" s="1" t="s">
        <v>525</v>
      </c>
      <c r="B175" s="1" t="s">
        <v>16</v>
      </c>
      <c r="C175" s="1" t="s">
        <v>16</v>
      </c>
      <c r="D175" s="2" t="s">
        <v>16</v>
      </c>
      <c r="E175" s="1" t="s">
        <v>16</v>
      </c>
      <c r="F175" s="1" t="s">
        <v>16</v>
      </c>
      <c r="G175" s="1" t="s">
        <v>16</v>
      </c>
      <c r="H175" s="1" t="s">
        <v>16</v>
      </c>
      <c r="I175" s="1" t="s">
        <v>16</v>
      </c>
      <c r="J175" s="1" t="s">
        <v>16</v>
      </c>
      <c r="K175" s="4" t="s">
        <v>16</v>
      </c>
      <c r="L175" s="1" t="s">
        <v>16</v>
      </c>
      <c r="M175" s="1" t="s">
        <v>16</v>
      </c>
      <c r="N175" s="7" t="str">
        <f>IFERROR(VLOOKUP(#REF!,'2. Buzzi Admin Only'!N:O,2,0),"")</f>
        <v/>
      </c>
      <c r="O175" s="6" t="str">
        <f>IFERROR(VLOOKUP(K175,'2. Buzzi Admin Only'!Q:R,2,0),"")</f>
        <v/>
      </c>
    </row>
    <row r="176" spans="1:15" ht="15.75" customHeight="1" x14ac:dyDescent="0.25">
      <c r="A176" s="1" t="s">
        <v>526</v>
      </c>
      <c r="B176" s="1" t="s">
        <v>16</v>
      </c>
      <c r="C176" s="1" t="s">
        <v>16</v>
      </c>
      <c r="D176" s="2" t="s">
        <v>527</v>
      </c>
      <c r="E176" s="1" t="s">
        <v>528</v>
      </c>
      <c r="F176" s="1" t="s">
        <v>529</v>
      </c>
      <c r="G176" s="1" t="s">
        <v>28</v>
      </c>
      <c r="H176" s="1" t="s">
        <v>16</v>
      </c>
      <c r="I176" s="1" t="s">
        <v>16</v>
      </c>
      <c r="J176" s="1" t="s">
        <v>16</v>
      </c>
      <c r="K176" s="4" t="s">
        <v>16</v>
      </c>
      <c r="L176" s="1" t="s">
        <v>23</v>
      </c>
      <c r="M176" s="1" t="s">
        <v>530</v>
      </c>
      <c r="N176" s="7" t="str">
        <f>IFERROR(VLOOKUP(#REF!,'2. Buzzi Admin Only'!N:O,2,0),"")</f>
        <v/>
      </c>
      <c r="O176" s="6" t="str">
        <f>IFERROR(VLOOKUP(K176,'2. Buzzi Admin Only'!Q:R,2,0),"")</f>
        <v/>
      </c>
    </row>
    <row r="177" spans="1:15" ht="15.75" customHeight="1" x14ac:dyDescent="0.25">
      <c r="A177" s="1" t="s">
        <v>531</v>
      </c>
      <c r="B177" s="1" t="s">
        <v>38</v>
      </c>
      <c r="C177" s="1" t="s">
        <v>16</v>
      </c>
      <c r="D177" s="2" t="s">
        <v>532</v>
      </c>
      <c r="E177" s="1" t="s">
        <v>40</v>
      </c>
      <c r="F177" s="1" t="s">
        <v>20</v>
      </c>
      <c r="G177" s="1" t="s">
        <v>21</v>
      </c>
      <c r="H177" s="1" t="s">
        <v>533</v>
      </c>
      <c r="I177" s="1" t="s">
        <v>16</v>
      </c>
      <c r="J177" s="1" t="s">
        <v>16</v>
      </c>
      <c r="K177" s="4" t="s">
        <v>16</v>
      </c>
      <c r="L177" s="1" t="s">
        <v>23</v>
      </c>
      <c r="M177" s="1" t="s">
        <v>58</v>
      </c>
      <c r="N177" s="7" t="str">
        <f>IFERROR(VLOOKUP(#REF!,'2. Buzzi Admin Only'!N:O,2,0),"")</f>
        <v/>
      </c>
      <c r="O177" s="6" t="str">
        <f>IFERROR(VLOOKUP(K177,'2. Buzzi Admin Only'!Q:R,2,0),"")</f>
        <v/>
      </c>
    </row>
    <row r="178" spans="1:15" ht="15.75" customHeight="1" x14ac:dyDescent="0.25">
      <c r="A178" s="1" t="s">
        <v>534</v>
      </c>
      <c r="B178" s="1" t="s">
        <v>38</v>
      </c>
      <c r="C178" s="1" t="s">
        <v>16</v>
      </c>
      <c r="D178" s="2" t="s">
        <v>535</v>
      </c>
      <c r="E178" s="1" t="s">
        <v>536</v>
      </c>
      <c r="F178" s="1" t="s">
        <v>20</v>
      </c>
      <c r="G178" s="1" t="s">
        <v>28</v>
      </c>
      <c r="H178" s="1" t="s">
        <v>16</v>
      </c>
      <c r="I178" s="1" t="s">
        <v>16</v>
      </c>
      <c r="J178" s="1" t="s">
        <v>16</v>
      </c>
      <c r="K178" s="4" t="s">
        <v>16</v>
      </c>
      <c r="L178" s="1" t="s">
        <v>23</v>
      </c>
      <c r="M178" s="1" t="s">
        <v>537</v>
      </c>
      <c r="N178" s="7" t="str">
        <f>IFERROR(VLOOKUP(#REF!,'2. Buzzi Admin Only'!N:O,2,0),"")</f>
        <v/>
      </c>
      <c r="O178" s="6" t="str">
        <f>IFERROR(VLOOKUP(K178,'2. Buzzi Admin Only'!Q:R,2,0),"")</f>
        <v/>
      </c>
    </row>
    <row r="179" spans="1:15" ht="15.75" customHeight="1" x14ac:dyDescent="0.25">
      <c r="A179" s="1" t="s">
        <v>538</v>
      </c>
      <c r="B179" s="1" t="s">
        <v>38</v>
      </c>
      <c r="C179" s="1" t="s">
        <v>60</v>
      </c>
      <c r="D179" s="2" t="s">
        <v>539</v>
      </c>
      <c r="E179" s="1" t="s">
        <v>540</v>
      </c>
      <c r="F179" s="1" t="s">
        <v>141</v>
      </c>
      <c r="G179" s="1" t="s">
        <v>142</v>
      </c>
      <c r="H179" s="1" t="s">
        <v>541</v>
      </c>
      <c r="I179" s="1" t="s">
        <v>16</v>
      </c>
      <c r="J179" s="1" t="s">
        <v>16</v>
      </c>
      <c r="K179" s="4" t="s">
        <v>16</v>
      </c>
      <c r="L179" s="1" t="s">
        <v>23</v>
      </c>
      <c r="M179" s="1" t="s">
        <v>58</v>
      </c>
      <c r="N179" s="7" t="str">
        <f>IFERROR(VLOOKUP(#REF!,'2. Buzzi Admin Only'!N:O,2,0),"")</f>
        <v/>
      </c>
      <c r="O179" s="6" t="str">
        <f>IFERROR(VLOOKUP(K179,'2. Buzzi Admin Only'!Q:R,2,0),"")</f>
        <v/>
      </c>
    </row>
    <row r="180" spans="1:15" ht="15.75" customHeight="1" x14ac:dyDescent="0.25">
      <c r="A180" s="1" t="s">
        <v>542</v>
      </c>
      <c r="B180" s="1" t="s">
        <v>16</v>
      </c>
      <c r="C180" s="1" t="s">
        <v>16</v>
      </c>
      <c r="D180" s="2" t="s">
        <v>16</v>
      </c>
      <c r="E180" s="1" t="s">
        <v>16</v>
      </c>
      <c r="F180" s="1" t="s">
        <v>16</v>
      </c>
      <c r="G180" s="1" t="s">
        <v>16</v>
      </c>
      <c r="H180" s="1" t="s">
        <v>16</v>
      </c>
      <c r="I180" s="1" t="s">
        <v>16</v>
      </c>
      <c r="J180" s="1" t="s">
        <v>16</v>
      </c>
      <c r="K180" s="4" t="s">
        <v>16</v>
      </c>
      <c r="L180" s="1" t="s">
        <v>16</v>
      </c>
      <c r="M180" s="1" t="s">
        <v>16</v>
      </c>
      <c r="N180" s="7" t="str">
        <f>IFERROR(VLOOKUP(#REF!,'2. Buzzi Admin Only'!N:O,2,0),"")</f>
        <v/>
      </c>
      <c r="O180" s="6" t="str">
        <f>IFERROR(VLOOKUP(K180,'2. Buzzi Admin Only'!Q:R,2,0),"")</f>
        <v/>
      </c>
    </row>
    <row r="181" spans="1:15" ht="15.75" customHeight="1" x14ac:dyDescent="0.25">
      <c r="A181" s="1" t="s">
        <v>543</v>
      </c>
      <c r="B181" s="1" t="s">
        <v>16</v>
      </c>
      <c r="C181" s="1" t="s">
        <v>16</v>
      </c>
      <c r="D181" s="2" t="s">
        <v>16</v>
      </c>
      <c r="E181" s="1" t="s">
        <v>16</v>
      </c>
      <c r="F181" s="1" t="s">
        <v>16</v>
      </c>
      <c r="G181" s="1" t="s">
        <v>16</v>
      </c>
      <c r="H181" s="1" t="s">
        <v>16</v>
      </c>
      <c r="I181" s="1" t="s">
        <v>16</v>
      </c>
      <c r="J181" s="1" t="s">
        <v>16</v>
      </c>
      <c r="K181" s="4" t="s">
        <v>16</v>
      </c>
      <c r="L181" s="1" t="s">
        <v>16</v>
      </c>
      <c r="M181" s="1" t="s">
        <v>16</v>
      </c>
      <c r="N181" s="7" t="str">
        <f>IFERROR(VLOOKUP(#REF!,'2. Buzzi Admin Only'!N:O,2,0),"")</f>
        <v/>
      </c>
      <c r="O181" s="6" t="str">
        <f>IFERROR(VLOOKUP(K181,'2. Buzzi Admin Only'!Q:R,2,0),"")</f>
        <v/>
      </c>
    </row>
    <row r="182" spans="1:15" ht="15.75" customHeight="1" x14ac:dyDescent="0.25">
      <c r="A182" s="1" t="s">
        <v>544</v>
      </c>
      <c r="B182" s="1" t="s">
        <v>16</v>
      </c>
      <c r="C182" s="1" t="s">
        <v>16</v>
      </c>
      <c r="D182" s="2" t="s">
        <v>16</v>
      </c>
      <c r="E182" s="1" t="s">
        <v>16</v>
      </c>
      <c r="F182" s="1" t="s">
        <v>16</v>
      </c>
      <c r="G182" s="1" t="s">
        <v>16</v>
      </c>
      <c r="H182" s="1" t="s">
        <v>16</v>
      </c>
      <c r="I182" s="1" t="s">
        <v>16</v>
      </c>
      <c r="J182" s="1" t="s">
        <v>16</v>
      </c>
      <c r="K182" s="4" t="s">
        <v>16</v>
      </c>
      <c r="L182" s="1" t="s">
        <v>16</v>
      </c>
      <c r="M182" s="1" t="s">
        <v>16</v>
      </c>
      <c r="N182" s="7" t="str">
        <f>IFERROR(VLOOKUP(#REF!,'2. Buzzi Admin Only'!N:O,2,0),"")</f>
        <v/>
      </c>
      <c r="O182" s="6" t="str">
        <f>IFERROR(VLOOKUP(K182,'2. Buzzi Admin Only'!Q:R,2,0),"")</f>
        <v/>
      </c>
    </row>
    <row r="183" spans="1:15" ht="15.75" customHeight="1" x14ac:dyDescent="0.25">
      <c r="A183" s="1" t="s">
        <v>545</v>
      </c>
      <c r="B183" s="1" t="s">
        <v>16</v>
      </c>
      <c r="C183" s="1" t="s">
        <v>16</v>
      </c>
      <c r="D183" s="2" t="s">
        <v>16</v>
      </c>
      <c r="E183" s="1" t="s">
        <v>16</v>
      </c>
      <c r="F183" s="1" t="s">
        <v>16</v>
      </c>
      <c r="G183" s="1" t="s">
        <v>16</v>
      </c>
      <c r="H183" s="1" t="s">
        <v>16</v>
      </c>
      <c r="I183" s="1" t="s">
        <v>16</v>
      </c>
      <c r="J183" s="1" t="s">
        <v>16</v>
      </c>
      <c r="K183" s="4" t="s">
        <v>16</v>
      </c>
      <c r="L183" s="1" t="s">
        <v>16</v>
      </c>
      <c r="M183" s="1" t="s">
        <v>16</v>
      </c>
      <c r="N183" s="7" t="str">
        <f>IFERROR(VLOOKUP(#REF!,'2. Buzzi Admin Only'!N:O,2,0),"")</f>
        <v/>
      </c>
      <c r="O183" s="6" t="str">
        <f>IFERROR(VLOOKUP(K183,'2. Buzzi Admin Only'!Q:R,2,0),"")</f>
        <v/>
      </c>
    </row>
    <row r="184" spans="1:15" ht="15.75" customHeight="1" x14ac:dyDescent="0.25">
      <c r="A184" s="1" t="s">
        <v>546</v>
      </c>
      <c r="B184" s="1" t="s">
        <v>16</v>
      </c>
      <c r="C184" s="1" t="s">
        <v>16</v>
      </c>
      <c r="D184" s="2" t="s">
        <v>547</v>
      </c>
      <c r="E184" s="1" t="s">
        <v>40</v>
      </c>
      <c r="F184" s="1" t="s">
        <v>20</v>
      </c>
      <c r="G184" s="1" t="s">
        <v>28</v>
      </c>
      <c r="H184" s="1" t="s">
        <v>16</v>
      </c>
      <c r="I184" s="1" t="s">
        <v>16</v>
      </c>
      <c r="J184" s="1" t="s">
        <v>16</v>
      </c>
      <c r="K184" s="4" t="s">
        <v>16</v>
      </c>
      <c r="L184" s="1" t="s">
        <v>23</v>
      </c>
      <c r="M184" s="1" t="s">
        <v>16</v>
      </c>
      <c r="N184" s="7" t="str">
        <f>IFERROR(VLOOKUP(#REF!,'2. Buzzi Admin Only'!N:O,2,0),"")</f>
        <v/>
      </c>
      <c r="O184" s="6" t="str">
        <f>IFERROR(VLOOKUP(K184,'2. Buzzi Admin Only'!Q:R,2,0),"")</f>
        <v/>
      </c>
    </row>
    <row r="185" spans="1:15" ht="15.75" customHeight="1" x14ac:dyDescent="0.25">
      <c r="A185" s="1" t="s">
        <v>548</v>
      </c>
      <c r="B185" s="1" t="s">
        <v>16</v>
      </c>
      <c r="C185" s="1" t="s">
        <v>60</v>
      </c>
      <c r="D185" s="2" t="s">
        <v>549</v>
      </c>
      <c r="E185" s="1" t="s">
        <v>550</v>
      </c>
      <c r="F185" s="1" t="s">
        <v>20</v>
      </c>
      <c r="G185" s="1" t="s">
        <v>44</v>
      </c>
      <c r="H185" s="1" t="s">
        <v>551</v>
      </c>
      <c r="I185" s="1" t="s">
        <v>16</v>
      </c>
      <c r="J185" s="1" t="s">
        <v>16</v>
      </c>
      <c r="K185" s="4" t="s">
        <v>16</v>
      </c>
      <c r="L185" s="1" t="s">
        <v>23</v>
      </c>
      <c r="M185" s="1" t="s">
        <v>552</v>
      </c>
      <c r="N185" s="7" t="str">
        <f>IFERROR(VLOOKUP(#REF!,'2. Buzzi Admin Only'!N:O,2,0),"")</f>
        <v/>
      </c>
      <c r="O185" s="6" t="str">
        <f>IFERROR(VLOOKUP(K185,'2. Buzzi Admin Only'!Q:R,2,0),"")</f>
        <v/>
      </c>
    </row>
    <row r="186" spans="1:15" ht="15.75" customHeight="1" x14ac:dyDescent="0.25">
      <c r="A186" s="1" t="s">
        <v>553</v>
      </c>
      <c r="B186" s="1" t="s">
        <v>16</v>
      </c>
      <c r="C186" s="1" t="s">
        <v>16</v>
      </c>
      <c r="D186" s="2" t="s">
        <v>16</v>
      </c>
      <c r="E186" s="1" t="s">
        <v>16</v>
      </c>
      <c r="F186" s="1" t="s">
        <v>16</v>
      </c>
      <c r="G186" s="1" t="s">
        <v>16</v>
      </c>
      <c r="H186" s="1" t="s">
        <v>16</v>
      </c>
      <c r="I186" s="1" t="s">
        <v>16</v>
      </c>
      <c r="J186" s="1" t="s">
        <v>16</v>
      </c>
      <c r="K186" s="4" t="s">
        <v>16</v>
      </c>
      <c r="L186" s="1" t="s">
        <v>16</v>
      </c>
      <c r="M186" s="1" t="s">
        <v>16</v>
      </c>
      <c r="N186" s="7" t="str">
        <f>IFERROR(VLOOKUP(#REF!,'2. Buzzi Admin Only'!N:O,2,0),"")</f>
        <v/>
      </c>
      <c r="O186" s="6" t="str">
        <f>IFERROR(VLOOKUP(K186,'2. Buzzi Admin Only'!Q:R,2,0),"")</f>
        <v/>
      </c>
    </row>
    <row r="187" spans="1:15" ht="15.75" customHeight="1" x14ac:dyDescent="0.25">
      <c r="A187" s="1" t="s">
        <v>554</v>
      </c>
      <c r="B187" s="1" t="s">
        <v>38</v>
      </c>
      <c r="C187" s="1" t="s">
        <v>16</v>
      </c>
      <c r="D187" s="2" t="s">
        <v>555</v>
      </c>
      <c r="E187" s="1" t="s">
        <v>556</v>
      </c>
      <c r="F187" s="1" t="s">
        <v>20</v>
      </c>
      <c r="G187" s="1" t="s">
        <v>28</v>
      </c>
      <c r="H187" s="1" t="s">
        <v>557</v>
      </c>
      <c r="I187" s="1" t="s">
        <v>16</v>
      </c>
      <c r="J187" s="1" t="s">
        <v>16</v>
      </c>
      <c r="K187" s="4" t="s">
        <v>16</v>
      </c>
      <c r="L187" s="1" t="s">
        <v>23</v>
      </c>
      <c r="M187" s="1" t="s">
        <v>558</v>
      </c>
      <c r="N187" s="7" t="str">
        <f>IFERROR(VLOOKUP(#REF!,'2. Buzzi Admin Only'!N:O,2,0),"")</f>
        <v/>
      </c>
      <c r="O187" s="6" t="str">
        <f>IFERROR(VLOOKUP(K187,'2. Buzzi Admin Only'!Q:R,2,0),"")</f>
        <v/>
      </c>
    </row>
    <row r="188" spans="1:15" ht="15.75" customHeight="1" x14ac:dyDescent="0.25">
      <c r="A188" s="1" t="s">
        <v>559</v>
      </c>
      <c r="B188" s="1" t="s">
        <v>16</v>
      </c>
      <c r="C188" s="1" t="s">
        <v>560</v>
      </c>
      <c r="D188" s="2" t="s">
        <v>561</v>
      </c>
      <c r="E188" s="1" t="s">
        <v>479</v>
      </c>
      <c r="F188" s="1" t="s">
        <v>20</v>
      </c>
      <c r="G188" s="1" t="s">
        <v>194</v>
      </c>
      <c r="H188" s="1" t="s">
        <v>562</v>
      </c>
      <c r="I188" s="1" t="s">
        <v>16</v>
      </c>
      <c r="J188" s="1" t="s">
        <v>16</v>
      </c>
      <c r="K188" s="4" t="s">
        <v>16</v>
      </c>
      <c r="L188" s="1" t="s">
        <v>71</v>
      </c>
      <c r="M188" s="1" t="s">
        <v>481</v>
      </c>
      <c r="N188" s="7" t="str">
        <f>IFERROR(VLOOKUP(#REF!,'2. Buzzi Admin Only'!N:O,2,0),"")</f>
        <v/>
      </c>
      <c r="O188" s="6" t="str">
        <f>IFERROR(VLOOKUP(K188,'2. Buzzi Admin Only'!Q:R,2,0),"")</f>
        <v/>
      </c>
    </row>
    <row r="189" spans="1:15" ht="15.75" customHeight="1" x14ac:dyDescent="0.25">
      <c r="A189" s="1" t="s">
        <v>563</v>
      </c>
      <c r="B189" s="1" t="s">
        <v>16</v>
      </c>
      <c r="C189" s="1" t="s">
        <v>402</v>
      </c>
      <c r="D189" s="2" t="s">
        <v>564</v>
      </c>
      <c r="E189" s="1" t="s">
        <v>479</v>
      </c>
      <c r="F189" s="1" t="s">
        <v>20</v>
      </c>
      <c r="G189" s="1" t="s">
        <v>194</v>
      </c>
      <c r="H189" s="1" t="s">
        <v>565</v>
      </c>
      <c r="I189" s="1" t="s">
        <v>16</v>
      </c>
      <c r="J189" s="1" t="s">
        <v>16</v>
      </c>
      <c r="K189" s="4" t="s">
        <v>16</v>
      </c>
      <c r="L189" s="1" t="s">
        <v>71</v>
      </c>
      <c r="M189" s="1" t="s">
        <v>481</v>
      </c>
      <c r="N189" s="7" t="str">
        <f>IFERROR(VLOOKUP(#REF!,'2. Buzzi Admin Only'!N:O,2,0),"")</f>
        <v/>
      </c>
      <c r="O189" s="6" t="str">
        <f>IFERROR(VLOOKUP(K189,'2. Buzzi Admin Only'!Q:R,2,0),"")</f>
        <v/>
      </c>
    </row>
    <row r="190" spans="1:15" ht="15.75" customHeight="1" x14ac:dyDescent="0.25">
      <c r="A190" s="1" t="s">
        <v>566</v>
      </c>
      <c r="B190" s="1" t="s">
        <v>38</v>
      </c>
      <c r="C190" s="1" t="s">
        <v>60</v>
      </c>
      <c r="D190" s="2" t="s">
        <v>567</v>
      </c>
      <c r="E190" s="1" t="s">
        <v>540</v>
      </c>
      <c r="F190" s="1" t="s">
        <v>20</v>
      </c>
      <c r="G190" s="1" t="s">
        <v>28</v>
      </c>
      <c r="H190" s="1" t="s">
        <v>568</v>
      </c>
      <c r="I190" s="1" t="s">
        <v>16</v>
      </c>
      <c r="J190" s="1" t="s">
        <v>16</v>
      </c>
      <c r="K190" s="4" t="s">
        <v>16</v>
      </c>
      <c r="L190" s="1" t="s">
        <v>23</v>
      </c>
      <c r="M190" s="1" t="s">
        <v>569</v>
      </c>
      <c r="N190" s="7" t="str">
        <f>IFERROR(VLOOKUP(#REF!,'2. Buzzi Admin Only'!N:O,2,0),"")</f>
        <v/>
      </c>
      <c r="O190" s="6" t="str">
        <f>IFERROR(VLOOKUP(K190,'2. Buzzi Admin Only'!Q:R,2,0),"")</f>
        <v/>
      </c>
    </row>
    <row r="191" spans="1:15" ht="15.75" customHeight="1" x14ac:dyDescent="0.25">
      <c r="A191" s="1" t="s">
        <v>570</v>
      </c>
      <c r="B191" s="1" t="s">
        <v>16</v>
      </c>
      <c r="C191" s="1" t="s">
        <v>16</v>
      </c>
      <c r="D191" s="2" t="s">
        <v>16</v>
      </c>
      <c r="E191" s="1" t="s">
        <v>571</v>
      </c>
      <c r="F191" s="1" t="s">
        <v>20</v>
      </c>
      <c r="G191" s="1" t="s">
        <v>28</v>
      </c>
      <c r="H191" s="1" t="s">
        <v>572</v>
      </c>
      <c r="I191" s="1" t="s">
        <v>16</v>
      </c>
      <c r="J191" s="1" t="s">
        <v>16</v>
      </c>
      <c r="K191" s="4" t="s">
        <v>16</v>
      </c>
      <c r="L191" s="1" t="s">
        <v>23</v>
      </c>
      <c r="M191" s="1" t="s">
        <v>16</v>
      </c>
      <c r="N191" s="7" t="str">
        <f>IFERROR(VLOOKUP(#REF!,'2. Buzzi Admin Only'!N:O,2,0),"")</f>
        <v/>
      </c>
      <c r="O191" s="6" t="str">
        <f>IFERROR(VLOOKUP(K191,'2. Buzzi Admin Only'!Q:R,2,0),"")</f>
        <v/>
      </c>
    </row>
    <row r="192" spans="1:15" ht="15.75" customHeight="1" x14ac:dyDescent="0.25">
      <c r="A192" s="1" t="s">
        <v>573</v>
      </c>
      <c r="B192" s="1" t="s">
        <v>16</v>
      </c>
      <c r="C192" s="1" t="s">
        <v>16</v>
      </c>
      <c r="D192" s="2" t="s">
        <v>16</v>
      </c>
      <c r="E192" s="1" t="s">
        <v>16</v>
      </c>
      <c r="F192" s="1" t="s">
        <v>16</v>
      </c>
      <c r="G192" s="1" t="s">
        <v>16</v>
      </c>
      <c r="H192" s="1" t="s">
        <v>16</v>
      </c>
      <c r="I192" s="1" t="s">
        <v>16</v>
      </c>
      <c r="J192" s="1" t="s">
        <v>16</v>
      </c>
      <c r="K192" s="4" t="s">
        <v>16</v>
      </c>
      <c r="L192" s="1" t="s">
        <v>16</v>
      </c>
      <c r="M192" s="1" t="s">
        <v>16</v>
      </c>
      <c r="N192" s="7" t="str">
        <f>IFERROR(VLOOKUP(#REF!,'2. Buzzi Admin Only'!N:O,2,0),"")</f>
        <v/>
      </c>
      <c r="O192" s="6" t="str">
        <f>IFERROR(VLOOKUP(K192,'2. Buzzi Admin Only'!Q:R,2,0),"")</f>
        <v/>
      </c>
    </row>
    <row r="193" spans="1:15" ht="15.75" customHeight="1" x14ac:dyDescent="0.25">
      <c r="A193" s="1" t="s">
        <v>574</v>
      </c>
      <c r="B193" s="1" t="s">
        <v>16</v>
      </c>
      <c r="C193" s="1" t="s">
        <v>16</v>
      </c>
      <c r="D193" s="2" t="s">
        <v>16</v>
      </c>
      <c r="E193" s="1" t="s">
        <v>575</v>
      </c>
      <c r="F193" s="1" t="s">
        <v>141</v>
      </c>
      <c r="G193" s="1" t="s">
        <v>152</v>
      </c>
      <c r="H193" s="1" t="s">
        <v>576</v>
      </c>
      <c r="I193" s="1" t="s">
        <v>16</v>
      </c>
      <c r="J193" s="1" t="s">
        <v>16</v>
      </c>
      <c r="K193" s="4" t="s">
        <v>16</v>
      </c>
      <c r="L193" s="1" t="s">
        <v>577</v>
      </c>
      <c r="M193" s="1"/>
      <c r="N193" s="7" t="str">
        <f>IFERROR(VLOOKUP(#REF!,'2. Buzzi Admin Only'!N:O,2,0),"")</f>
        <v/>
      </c>
      <c r="O193" s="6" t="str">
        <f>IFERROR(VLOOKUP(K193,'2. Buzzi Admin Only'!Q:R,2,0),"")</f>
        <v/>
      </c>
    </row>
    <row r="194" spans="1:15" ht="15.75" customHeight="1" x14ac:dyDescent="0.25">
      <c r="A194" s="1" t="s">
        <v>578</v>
      </c>
      <c r="B194" s="1" t="s">
        <v>16</v>
      </c>
      <c r="C194" s="1" t="s">
        <v>16</v>
      </c>
      <c r="D194" s="2" t="s">
        <v>16</v>
      </c>
      <c r="E194" s="1" t="s">
        <v>16</v>
      </c>
      <c r="F194" s="1" t="s">
        <v>16</v>
      </c>
      <c r="G194" s="1" t="s">
        <v>16</v>
      </c>
      <c r="H194" s="1" t="s">
        <v>16</v>
      </c>
      <c r="I194" s="1" t="s">
        <v>16</v>
      </c>
      <c r="J194" s="1" t="s">
        <v>16</v>
      </c>
      <c r="K194" s="4" t="s">
        <v>16</v>
      </c>
      <c r="L194" s="1" t="s">
        <v>16</v>
      </c>
      <c r="M194" s="1" t="s">
        <v>16</v>
      </c>
      <c r="N194" s="7" t="str">
        <f>IFERROR(VLOOKUP(#REF!,'2. Buzzi Admin Only'!N:O,2,0),"")</f>
        <v/>
      </c>
      <c r="O194" s="6" t="str">
        <f>IFERROR(VLOOKUP(K194,'2. Buzzi Admin Only'!Q:R,2,0),"")</f>
        <v/>
      </c>
    </row>
    <row r="195" spans="1:15" ht="15.75" customHeight="1" x14ac:dyDescent="0.25">
      <c r="A195" s="1" t="s">
        <v>579</v>
      </c>
      <c r="B195" s="1" t="s">
        <v>16</v>
      </c>
      <c r="C195" s="1" t="s">
        <v>16</v>
      </c>
      <c r="D195" s="2" t="s">
        <v>16</v>
      </c>
      <c r="E195" s="1" t="s">
        <v>16</v>
      </c>
      <c r="F195" s="1" t="s">
        <v>16</v>
      </c>
      <c r="G195" s="1" t="s">
        <v>16</v>
      </c>
      <c r="H195" s="1" t="s">
        <v>16</v>
      </c>
      <c r="I195" s="1" t="s">
        <v>16</v>
      </c>
      <c r="J195" s="1" t="s">
        <v>16</v>
      </c>
      <c r="K195" s="4" t="s">
        <v>16</v>
      </c>
      <c r="L195" s="1" t="s">
        <v>16</v>
      </c>
      <c r="M195" s="1" t="s">
        <v>16</v>
      </c>
      <c r="N195" s="7" t="str">
        <f>IFERROR(VLOOKUP(#REF!,'2. Buzzi Admin Only'!N:O,2,0),"")</f>
        <v/>
      </c>
      <c r="O195" s="6" t="str">
        <f>IFERROR(VLOOKUP(K195,'2. Buzzi Admin Only'!Q:R,2,0),"")</f>
        <v/>
      </c>
    </row>
    <row r="196" spans="1:15" ht="15.75" customHeight="1" x14ac:dyDescent="0.25">
      <c r="A196" s="1" t="s">
        <v>580</v>
      </c>
      <c r="B196" s="1" t="s">
        <v>16</v>
      </c>
      <c r="C196" s="1" t="s">
        <v>16</v>
      </c>
      <c r="D196" s="2" t="s">
        <v>16</v>
      </c>
      <c r="E196" s="1" t="s">
        <v>40</v>
      </c>
      <c r="F196" s="1" t="s">
        <v>20</v>
      </c>
      <c r="G196" s="1" t="s">
        <v>28</v>
      </c>
      <c r="H196" s="1" t="s">
        <v>16</v>
      </c>
      <c r="I196" s="1" t="s">
        <v>16</v>
      </c>
      <c r="J196" s="1" t="s">
        <v>16</v>
      </c>
      <c r="K196" s="4" t="s">
        <v>16</v>
      </c>
      <c r="L196" s="1" t="s">
        <v>23</v>
      </c>
      <c r="M196" s="1" t="s">
        <v>16</v>
      </c>
      <c r="N196" s="7" t="str">
        <f>IFERROR(VLOOKUP(#REF!,'2. Buzzi Admin Only'!N:O,2,0),"")</f>
        <v/>
      </c>
      <c r="O196" s="6" t="str">
        <f>IFERROR(VLOOKUP(K196,'2. Buzzi Admin Only'!Q:R,2,0),"")</f>
        <v/>
      </c>
    </row>
    <row r="197" spans="1:15" ht="15.75" customHeight="1" x14ac:dyDescent="0.25">
      <c r="A197" s="1" t="s">
        <v>581</v>
      </c>
      <c r="B197" s="1" t="s">
        <v>138</v>
      </c>
      <c r="C197" s="1" t="s">
        <v>16</v>
      </c>
      <c r="D197" s="2" t="s">
        <v>323</v>
      </c>
      <c r="E197" s="1" t="s">
        <v>40</v>
      </c>
      <c r="F197" s="1" t="s">
        <v>20</v>
      </c>
      <c r="G197" s="1" t="s">
        <v>28</v>
      </c>
      <c r="H197" s="1" t="s">
        <v>582</v>
      </c>
      <c r="I197" s="1" t="s">
        <v>16</v>
      </c>
      <c r="J197" s="1" t="s">
        <v>16</v>
      </c>
      <c r="K197" s="4" t="s">
        <v>16</v>
      </c>
      <c r="L197" s="1" t="s">
        <v>23</v>
      </c>
      <c r="M197" s="1" t="s">
        <v>583</v>
      </c>
      <c r="N197" s="7" t="str">
        <f>IFERROR(VLOOKUP(#REF!,'2. Buzzi Admin Only'!N:O,2,0),"")</f>
        <v/>
      </c>
      <c r="O197" s="6" t="str">
        <f>IFERROR(VLOOKUP(K197,'2. Buzzi Admin Only'!Q:R,2,0),"")</f>
        <v/>
      </c>
    </row>
    <row r="198" spans="1:15" ht="15.75" customHeight="1" x14ac:dyDescent="0.25">
      <c r="A198" s="1" t="s">
        <v>584</v>
      </c>
      <c r="B198" s="1" t="s">
        <v>158</v>
      </c>
      <c r="C198" s="1" t="s">
        <v>44</v>
      </c>
      <c r="D198" s="2" t="s">
        <v>585</v>
      </c>
      <c r="E198" s="1" t="s">
        <v>586</v>
      </c>
      <c r="F198" s="1" t="s">
        <v>20</v>
      </c>
      <c r="G198" s="1" t="s">
        <v>21</v>
      </c>
      <c r="H198" s="1" t="s">
        <v>587</v>
      </c>
      <c r="I198" s="1" t="s">
        <v>16</v>
      </c>
      <c r="J198" s="1" t="s">
        <v>57</v>
      </c>
      <c r="K198" s="10">
        <v>700</v>
      </c>
      <c r="L198" s="1" t="s">
        <v>23</v>
      </c>
      <c r="M198" s="1" t="s">
        <v>58</v>
      </c>
      <c r="N198" s="7" t="str">
        <f>IFERROR(VLOOKUP(#REF!,'2. Buzzi Admin Only'!N:O,2,0),"")</f>
        <v/>
      </c>
      <c r="O198" s="6" t="str">
        <f>IFERROR(VLOOKUP(K198,'2. Buzzi Admin Only'!Q:R,2,0),"")</f>
        <v>Power Generation (Turbines, Boilers)</v>
      </c>
    </row>
    <row r="199" spans="1:15" ht="15.75" customHeight="1" x14ac:dyDescent="0.25">
      <c r="A199" s="1" t="s">
        <v>588</v>
      </c>
      <c r="B199" s="1" t="s">
        <v>16</v>
      </c>
      <c r="C199" s="1" t="s">
        <v>16</v>
      </c>
      <c r="D199" s="2" t="s">
        <v>16</v>
      </c>
      <c r="E199" s="1" t="s">
        <v>16</v>
      </c>
      <c r="F199" s="1" t="s">
        <v>20</v>
      </c>
      <c r="G199" s="1" t="s">
        <v>21</v>
      </c>
      <c r="H199" s="1" t="s">
        <v>16</v>
      </c>
      <c r="I199" s="1" t="s">
        <v>16</v>
      </c>
      <c r="J199" s="1" t="s">
        <v>16</v>
      </c>
      <c r="K199" s="4" t="s">
        <v>16</v>
      </c>
      <c r="L199" s="1" t="s">
        <v>23</v>
      </c>
      <c r="M199" s="1" t="s">
        <v>16</v>
      </c>
      <c r="N199" s="7" t="str">
        <f>IFERROR(VLOOKUP(#REF!,'2. Buzzi Admin Only'!N:O,2,0),"")</f>
        <v/>
      </c>
      <c r="O199" s="6" t="str">
        <f>IFERROR(VLOOKUP(K199,'2. Buzzi Admin Only'!Q:R,2,0),"")</f>
        <v/>
      </c>
    </row>
    <row r="200" spans="1:15" ht="15.75" customHeight="1" x14ac:dyDescent="0.25">
      <c r="A200" s="1" t="s">
        <v>589</v>
      </c>
      <c r="B200" s="1" t="s">
        <v>138</v>
      </c>
      <c r="C200" s="1" t="s">
        <v>16</v>
      </c>
      <c r="D200" s="2" t="s">
        <v>590</v>
      </c>
      <c r="E200" s="1" t="s">
        <v>591</v>
      </c>
      <c r="F200" s="1" t="s">
        <v>20</v>
      </c>
      <c r="G200" s="1" t="s">
        <v>44</v>
      </c>
      <c r="H200" s="1" t="s">
        <v>16</v>
      </c>
      <c r="I200" s="1" t="s">
        <v>16</v>
      </c>
      <c r="J200" s="1" t="s">
        <v>16</v>
      </c>
      <c r="K200" s="4" t="s">
        <v>16</v>
      </c>
      <c r="L200" s="1" t="s">
        <v>23</v>
      </c>
      <c r="M200" s="1" t="s">
        <v>58</v>
      </c>
      <c r="N200" s="7" t="str">
        <f>IFERROR(VLOOKUP(#REF!,'2. Buzzi Admin Only'!N:O,2,0),"")</f>
        <v/>
      </c>
      <c r="O200" s="6" t="str">
        <f>IFERROR(VLOOKUP(K200,'2. Buzzi Admin Only'!Q:R,2,0),"")</f>
        <v/>
      </c>
    </row>
    <row r="201" spans="1:15" ht="15.75" customHeight="1" x14ac:dyDescent="0.25">
      <c r="A201" s="1" t="s">
        <v>592</v>
      </c>
      <c r="B201" s="1" t="s">
        <v>138</v>
      </c>
      <c r="C201" s="1" t="s">
        <v>60</v>
      </c>
      <c r="D201" s="2" t="s">
        <v>593</v>
      </c>
      <c r="E201" s="1" t="s">
        <v>594</v>
      </c>
      <c r="F201" s="1" t="s">
        <v>20</v>
      </c>
      <c r="G201" s="1" t="s">
        <v>28</v>
      </c>
      <c r="H201" s="1" t="s">
        <v>16</v>
      </c>
      <c r="I201" s="1" t="s">
        <v>16</v>
      </c>
      <c r="J201" s="1" t="s">
        <v>16</v>
      </c>
      <c r="K201" s="4" t="s">
        <v>16</v>
      </c>
      <c r="L201" s="1" t="s">
        <v>23</v>
      </c>
      <c r="M201" s="1" t="s">
        <v>595</v>
      </c>
      <c r="N201" s="7" t="str">
        <f>IFERROR(VLOOKUP(#REF!,'2. Buzzi Admin Only'!N:O,2,0),"")</f>
        <v/>
      </c>
      <c r="O201" s="6" t="str">
        <f>IFERROR(VLOOKUP(K201,'2. Buzzi Admin Only'!Q:R,2,0),"")</f>
        <v/>
      </c>
    </row>
    <row r="202" spans="1:15" ht="15.75" customHeight="1" x14ac:dyDescent="0.25">
      <c r="A202" s="1" t="s">
        <v>596</v>
      </c>
      <c r="B202" s="1" t="s">
        <v>38</v>
      </c>
      <c r="C202" s="1" t="s">
        <v>16</v>
      </c>
      <c r="D202" s="2" t="s">
        <v>567</v>
      </c>
      <c r="E202" s="1" t="s">
        <v>40</v>
      </c>
      <c r="F202" s="1" t="s">
        <v>20</v>
      </c>
      <c r="G202" s="1" t="s">
        <v>21</v>
      </c>
      <c r="H202" s="1" t="s">
        <v>597</v>
      </c>
      <c r="I202" s="1" t="s">
        <v>16</v>
      </c>
      <c r="J202" s="1" t="s">
        <v>16</v>
      </c>
      <c r="K202" s="4" t="s">
        <v>16</v>
      </c>
      <c r="L202" s="1" t="s">
        <v>23</v>
      </c>
      <c r="M202" s="1" t="s">
        <v>598</v>
      </c>
      <c r="N202" s="7" t="str">
        <f>IFERROR(VLOOKUP(#REF!,'2. Buzzi Admin Only'!N:O,2,0),"")</f>
        <v/>
      </c>
      <c r="O202" s="6" t="str">
        <f>IFERROR(VLOOKUP(K202,'2. Buzzi Admin Only'!Q:R,2,0),"")</f>
        <v/>
      </c>
    </row>
    <row r="203" spans="1:15" ht="15.75" customHeight="1" x14ac:dyDescent="0.25">
      <c r="A203" s="1" t="s">
        <v>599</v>
      </c>
      <c r="B203" s="1" t="s">
        <v>16</v>
      </c>
      <c r="C203" s="1" t="s">
        <v>16</v>
      </c>
      <c r="D203" s="2" t="s">
        <v>16</v>
      </c>
      <c r="E203" s="1" t="s">
        <v>40</v>
      </c>
      <c r="F203" s="1" t="s">
        <v>141</v>
      </c>
      <c r="G203" s="1" t="s">
        <v>194</v>
      </c>
      <c r="H203" s="1" t="s">
        <v>16</v>
      </c>
      <c r="I203" s="1" t="s">
        <v>16</v>
      </c>
      <c r="J203" s="1" t="s">
        <v>16</v>
      </c>
      <c r="K203" s="4" t="s">
        <v>16</v>
      </c>
      <c r="L203" s="1" t="s">
        <v>23</v>
      </c>
      <c r="M203" s="1" t="s">
        <v>600</v>
      </c>
      <c r="N203" s="7" t="str">
        <f>IFERROR(VLOOKUP(#REF!,'2. Buzzi Admin Only'!N:O,2,0),"")</f>
        <v/>
      </c>
      <c r="O203" s="6" t="str">
        <f>IFERROR(VLOOKUP(K203,'2. Buzzi Admin Only'!Q:R,2,0),"")</f>
        <v/>
      </c>
    </row>
    <row r="204" spans="1:15" ht="15.75" customHeight="1" x14ac:dyDescent="0.25">
      <c r="A204" s="1" t="s">
        <v>601</v>
      </c>
      <c r="B204" s="1" t="s">
        <v>16</v>
      </c>
      <c r="C204" s="1" t="s">
        <v>16</v>
      </c>
      <c r="D204" s="2" t="s">
        <v>16</v>
      </c>
      <c r="E204" s="1" t="s">
        <v>16</v>
      </c>
      <c r="F204" s="1" t="s">
        <v>16</v>
      </c>
      <c r="G204" s="1" t="s">
        <v>16</v>
      </c>
      <c r="H204" s="1" t="s">
        <v>16</v>
      </c>
      <c r="I204" s="1" t="s">
        <v>16</v>
      </c>
      <c r="J204" s="1" t="s">
        <v>16</v>
      </c>
      <c r="K204" s="4" t="s">
        <v>16</v>
      </c>
      <c r="L204" s="1" t="s">
        <v>16</v>
      </c>
      <c r="M204" s="1" t="s">
        <v>16</v>
      </c>
      <c r="N204" s="7" t="str">
        <f>IFERROR(VLOOKUP(#REF!,'2. Buzzi Admin Only'!N:O,2,0),"")</f>
        <v/>
      </c>
      <c r="O204" s="6" t="str">
        <f>IFERROR(VLOOKUP(K204,'2. Buzzi Admin Only'!Q:R,2,0),"")</f>
        <v/>
      </c>
    </row>
    <row r="205" spans="1:15" ht="15.75" customHeight="1" x14ac:dyDescent="0.25">
      <c r="A205" s="1" t="s">
        <v>602</v>
      </c>
      <c r="B205" s="1" t="s">
        <v>16</v>
      </c>
      <c r="C205" s="1" t="s">
        <v>16</v>
      </c>
      <c r="D205" s="2" t="s">
        <v>603</v>
      </c>
      <c r="E205" s="1" t="s">
        <v>604</v>
      </c>
      <c r="F205" s="1" t="s">
        <v>20</v>
      </c>
      <c r="G205" s="1" t="s">
        <v>28</v>
      </c>
      <c r="H205" s="1" t="s">
        <v>605</v>
      </c>
      <c r="I205" s="1" t="s">
        <v>16</v>
      </c>
      <c r="J205" s="1" t="s">
        <v>16</v>
      </c>
      <c r="K205" s="4" t="s">
        <v>16</v>
      </c>
      <c r="L205" s="1" t="s">
        <v>23</v>
      </c>
      <c r="M205" s="1" t="s">
        <v>58</v>
      </c>
      <c r="N205" s="7" t="str">
        <f>IFERROR(VLOOKUP(#REF!,'2. Buzzi Admin Only'!N:O,2,0),"")</f>
        <v/>
      </c>
      <c r="O205" s="6" t="str">
        <f>IFERROR(VLOOKUP(K205,'2. Buzzi Admin Only'!Q:R,2,0),"")</f>
        <v/>
      </c>
    </row>
    <row r="206" spans="1:15" ht="15.75" customHeight="1" x14ac:dyDescent="0.25">
      <c r="A206" s="1" t="s">
        <v>606</v>
      </c>
      <c r="B206" s="1" t="s">
        <v>16</v>
      </c>
      <c r="C206" s="1" t="s">
        <v>607</v>
      </c>
      <c r="D206" s="2" t="s">
        <v>348</v>
      </c>
      <c r="E206" s="1" t="s">
        <v>608</v>
      </c>
      <c r="F206" s="1" t="s">
        <v>20</v>
      </c>
      <c r="G206" s="1" t="s">
        <v>28</v>
      </c>
      <c r="H206" s="1" t="s">
        <v>16</v>
      </c>
      <c r="I206" s="1" t="s">
        <v>16</v>
      </c>
      <c r="J206" s="1" t="s">
        <v>16</v>
      </c>
      <c r="K206" s="4" t="s">
        <v>16</v>
      </c>
      <c r="L206" s="1" t="s">
        <v>23</v>
      </c>
      <c r="M206" s="1" t="s">
        <v>609</v>
      </c>
      <c r="N206" s="7" t="str">
        <f>IFERROR(VLOOKUP(#REF!,'2. Buzzi Admin Only'!N:O,2,0),"")</f>
        <v/>
      </c>
      <c r="O206" s="6" t="str">
        <f>IFERROR(VLOOKUP(K206,'2. Buzzi Admin Only'!Q:R,2,0),"")</f>
        <v/>
      </c>
    </row>
    <row r="207" spans="1:15" ht="15.75" customHeight="1" x14ac:dyDescent="0.25">
      <c r="A207" s="1" t="s">
        <v>610</v>
      </c>
      <c r="B207" s="1" t="s">
        <v>138</v>
      </c>
      <c r="C207" s="1" t="s">
        <v>16</v>
      </c>
      <c r="D207" s="2" t="s">
        <v>226</v>
      </c>
      <c r="E207" s="1" t="s">
        <v>611</v>
      </c>
      <c r="F207" s="1" t="s">
        <v>20</v>
      </c>
      <c r="G207" s="1" t="s">
        <v>21</v>
      </c>
      <c r="H207" s="1" t="s">
        <v>612</v>
      </c>
      <c r="I207" s="1" t="s">
        <v>16</v>
      </c>
      <c r="J207" s="1" t="s">
        <v>57</v>
      </c>
      <c r="K207" s="4" t="s">
        <v>16</v>
      </c>
      <c r="L207" s="1" t="s">
        <v>23</v>
      </c>
      <c r="M207" s="1" t="s">
        <v>613</v>
      </c>
      <c r="N207" s="7" t="str">
        <f>IFERROR(VLOOKUP(#REF!,'2. Buzzi Admin Only'!N:O,2,0),"")</f>
        <v/>
      </c>
      <c r="O207" s="6" t="str">
        <f>IFERROR(VLOOKUP(K207,'2. Buzzi Admin Only'!Q:R,2,0),"")</f>
        <v/>
      </c>
    </row>
    <row r="208" spans="1:15" ht="15.75" customHeight="1" x14ac:dyDescent="0.25">
      <c r="A208" s="1" t="s">
        <v>614</v>
      </c>
      <c r="B208" s="1" t="s">
        <v>16</v>
      </c>
      <c r="C208" s="1" t="s">
        <v>16</v>
      </c>
      <c r="D208" s="2" t="s">
        <v>16</v>
      </c>
      <c r="E208" s="1" t="s">
        <v>16</v>
      </c>
      <c r="F208" s="1" t="s">
        <v>16</v>
      </c>
      <c r="G208" s="1" t="s">
        <v>16</v>
      </c>
      <c r="H208" s="1" t="s">
        <v>16</v>
      </c>
      <c r="I208" s="1" t="s">
        <v>16</v>
      </c>
      <c r="J208" s="1" t="s">
        <v>16</v>
      </c>
      <c r="K208" s="4" t="s">
        <v>16</v>
      </c>
      <c r="L208" s="1" t="s">
        <v>23</v>
      </c>
      <c r="M208" s="1"/>
      <c r="N208" s="7" t="str">
        <f>IFERROR(VLOOKUP(#REF!,'2. Buzzi Admin Only'!N:O,2,0),"")</f>
        <v/>
      </c>
      <c r="O208" s="6" t="str">
        <f>IFERROR(VLOOKUP(K208,'2. Buzzi Admin Only'!Q:R,2,0),"")</f>
        <v/>
      </c>
    </row>
    <row r="209" spans="1:15" ht="15.75" customHeight="1" x14ac:dyDescent="0.25">
      <c r="A209" s="1" t="s">
        <v>615</v>
      </c>
      <c r="B209" s="1" t="s">
        <v>16</v>
      </c>
      <c r="C209" s="1" t="s">
        <v>16</v>
      </c>
      <c r="D209" s="2" t="s">
        <v>16</v>
      </c>
      <c r="E209" s="1" t="s">
        <v>16</v>
      </c>
      <c r="F209" s="1" t="s">
        <v>16</v>
      </c>
      <c r="G209" s="1" t="s">
        <v>16</v>
      </c>
      <c r="H209" s="1" t="s">
        <v>16</v>
      </c>
      <c r="I209" s="1" t="s">
        <v>16</v>
      </c>
      <c r="J209" s="1" t="s">
        <v>16</v>
      </c>
      <c r="K209" s="4" t="s">
        <v>16</v>
      </c>
      <c r="L209" s="1" t="s">
        <v>23</v>
      </c>
      <c r="M209" s="1" t="s">
        <v>16</v>
      </c>
      <c r="N209" s="7" t="str">
        <f>IFERROR(VLOOKUP(#REF!,'2. Buzzi Admin Only'!N:O,2,0),"")</f>
        <v/>
      </c>
      <c r="O209" s="6" t="str">
        <f>IFERROR(VLOOKUP(K209,'2. Buzzi Admin Only'!Q:R,2,0),"")</f>
        <v/>
      </c>
    </row>
    <row r="210" spans="1:15" ht="15.75" customHeight="1" x14ac:dyDescent="0.25">
      <c r="A210" s="1" t="s">
        <v>616</v>
      </c>
      <c r="B210" s="1" t="s">
        <v>138</v>
      </c>
      <c r="C210" s="1" t="s">
        <v>16</v>
      </c>
      <c r="D210" s="2" t="s">
        <v>617</v>
      </c>
      <c r="E210" s="1" t="s">
        <v>618</v>
      </c>
      <c r="F210" s="1" t="s">
        <v>20</v>
      </c>
      <c r="G210" s="1" t="s">
        <v>28</v>
      </c>
      <c r="H210" s="1" t="s">
        <v>16</v>
      </c>
      <c r="I210" s="1" t="s">
        <v>16</v>
      </c>
      <c r="J210" s="1" t="s">
        <v>16</v>
      </c>
      <c r="K210" s="4" t="s">
        <v>16</v>
      </c>
      <c r="L210" s="1" t="s">
        <v>23</v>
      </c>
      <c r="M210" s="1" t="s">
        <v>58</v>
      </c>
      <c r="N210" s="7" t="str">
        <f>IFERROR(VLOOKUP(#REF!,'2. Buzzi Admin Only'!N:O,2,0),"")</f>
        <v/>
      </c>
      <c r="O210" s="6" t="str">
        <f>IFERROR(VLOOKUP(K210,'2. Buzzi Admin Only'!Q:R,2,0),"")</f>
        <v/>
      </c>
    </row>
    <row r="211" spans="1:15" ht="15.75" customHeight="1" x14ac:dyDescent="0.25">
      <c r="A211" s="1" t="s">
        <v>619</v>
      </c>
      <c r="B211" s="1" t="s">
        <v>138</v>
      </c>
      <c r="C211" s="1" t="s">
        <v>60</v>
      </c>
      <c r="D211" s="2" t="s">
        <v>620</v>
      </c>
      <c r="E211" s="1" t="s">
        <v>621</v>
      </c>
      <c r="F211" s="1" t="s">
        <v>20</v>
      </c>
      <c r="G211" s="1" t="s">
        <v>44</v>
      </c>
      <c r="H211" s="1" t="s">
        <v>622</v>
      </c>
      <c r="I211" s="1" t="s">
        <v>16</v>
      </c>
      <c r="J211" s="1" t="s">
        <v>16</v>
      </c>
      <c r="K211" s="4" t="s">
        <v>16</v>
      </c>
      <c r="L211" s="1" t="s">
        <v>23</v>
      </c>
      <c r="M211" s="1" t="s">
        <v>623</v>
      </c>
      <c r="N211" s="7" t="str">
        <f>IFERROR(VLOOKUP(#REF!,'2. Buzzi Admin Only'!N:O,2,0),"")</f>
        <v/>
      </c>
      <c r="O211" s="6" t="str">
        <f>IFERROR(VLOOKUP(K211,'2. Buzzi Admin Only'!Q:R,2,0),"")</f>
        <v/>
      </c>
    </row>
    <row r="212" spans="1:15" ht="15.75" customHeight="1" x14ac:dyDescent="0.25">
      <c r="A212" s="1" t="s">
        <v>624</v>
      </c>
      <c r="B212" s="1" t="s">
        <v>16</v>
      </c>
      <c r="C212" s="1" t="s">
        <v>44</v>
      </c>
      <c r="D212" s="2" t="s">
        <v>16</v>
      </c>
      <c r="E212" s="1" t="s">
        <v>97</v>
      </c>
      <c r="F212" s="1" t="s">
        <v>20</v>
      </c>
      <c r="G212" s="1" t="s">
        <v>44</v>
      </c>
      <c r="H212" s="1" t="s">
        <v>625</v>
      </c>
      <c r="I212" s="1" t="s">
        <v>16</v>
      </c>
      <c r="J212" s="1" t="s">
        <v>16</v>
      </c>
      <c r="K212" s="4" t="s">
        <v>16</v>
      </c>
      <c r="L212" s="1" t="s">
        <v>23</v>
      </c>
      <c r="M212" s="1" t="s">
        <v>626</v>
      </c>
      <c r="N212" s="7" t="str">
        <f>IFERROR(VLOOKUP(#REF!,'2. Buzzi Admin Only'!N:O,2,0),"")</f>
        <v/>
      </c>
      <c r="O212" s="6" t="str">
        <f>IFERROR(VLOOKUP(K212,'2. Buzzi Admin Only'!Q:R,2,0),"")</f>
        <v/>
      </c>
    </row>
    <row r="213" spans="1:15" ht="15.75" customHeight="1" x14ac:dyDescent="0.25">
      <c r="A213" s="1" t="s">
        <v>627</v>
      </c>
      <c r="B213" s="1" t="s">
        <v>16</v>
      </c>
      <c r="C213" s="1" t="s">
        <v>16</v>
      </c>
      <c r="D213" s="2" t="s">
        <v>16</v>
      </c>
      <c r="E213" s="1" t="s">
        <v>40</v>
      </c>
      <c r="F213" s="1" t="s">
        <v>20</v>
      </c>
      <c r="G213" s="1" t="s">
        <v>21</v>
      </c>
      <c r="H213" s="1" t="s">
        <v>16</v>
      </c>
      <c r="I213" s="1" t="s">
        <v>16</v>
      </c>
      <c r="J213" s="1" t="s">
        <v>16</v>
      </c>
      <c r="K213" s="4" t="s">
        <v>16</v>
      </c>
      <c r="L213" s="1" t="s">
        <v>23</v>
      </c>
      <c r="M213" s="1" t="s">
        <v>16</v>
      </c>
      <c r="N213" s="7" t="str">
        <f>IFERROR(VLOOKUP(#REF!,'2. Buzzi Admin Only'!N:O,2,0),"")</f>
        <v/>
      </c>
      <c r="O213" s="6" t="str">
        <f>IFERROR(VLOOKUP(K213,'2. Buzzi Admin Only'!Q:R,2,0),"")</f>
        <v/>
      </c>
    </row>
    <row r="214" spans="1:15" ht="15.75" customHeight="1" x14ac:dyDescent="0.25">
      <c r="A214" s="1" t="s">
        <v>628</v>
      </c>
      <c r="B214" s="1" t="s">
        <v>16</v>
      </c>
      <c r="C214" s="1" t="s">
        <v>16</v>
      </c>
      <c r="D214" s="2" t="s">
        <v>16</v>
      </c>
      <c r="E214" s="1" t="s">
        <v>16</v>
      </c>
      <c r="F214" s="1" t="s">
        <v>16</v>
      </c>
      <c r="G214" s="1" t="s">
        <v>16</v>
      </c>
      <c r="H214" s="1" t="s">
        <v>16</v>
      </c>
      <c r="I214" s="1" t="s">
        <v>16</v>
      </c>
      <c r="J214" s="1" t="s">
        <v>16</v>
      </c>
      <c r="K214" s="4" t="s">
        <v>16</v>
      </c>
      <c r="L214" s="1" t="s">
        <v>16</v>
      </c>
      <c r="M214" s="1" t="s">
        <v>16</v>
      </c>
      <c r="N214" s="7" t="str">
        <f>IFERROR(VLOOKUP(#REF!,'2. Buzzi Admin Only'!N:O,2,0),"")</f>
        <v/>
      </c>
      <c r="O214" s="6" t="str">
        <f>IFERROR(VLOOKUP(K214,'2. Buzzi Admin Only'!Q:R,2,0),"")</f>
        <v/>
      </c>
    </row>
    <row r="215" spans="1:15" ht="15.75" customHeight="1" x14ac:dyDescent="0.25">
      <c r="A215" s="1" t="s">
        <v>629</v>
      </c>
      <c r="B215" s="1" t="s">
        <v>16</v>
      </c>
      <c r="C215" s="1" t="s">
        <v>16</v>
      </c>
      <c r="D215" s="2" t="s">
        <v>16</v>
      </c>
      <c r="E215" s="1" t="s">
        <v>16</v>
      </c>
      <c r="F215" s="1" t="s">
        <v>16</v>
      </c>
      <c r="G215" s="1" t="s">
        <v>16</v>
      </c>
      <c r="H215" s="1" t="s">
        <v>16</v>
      </c>
      <c r="I215" s="1" t="s">
        <v>16</v>
      </c>
      <c r="J215" s="1" t="s">
        <v>16</v>
      </c>
      <c r="K215" s="4" t="s">
        <v>16</v>
      </c>
      <c r="L215" s="1" t="s">
        <v>16</v>
      </c>
      <c r="M215" s="1" t="s">
        <v>16</v>
      </c>
      <c r="N215" s="7" t="str">
        <f>IFERROR(VLOOKUP(#REF!,'2. Buzzi Admin Only'!N:O,2,0),"")</f>
        <v/>
      </c>
      <c r="O215" s="6" t="str">
        <f>IFERROR(VLOOKUP(K215,'2. Buzzi Admin Only'!Q:R,2,0),"")</f>
        <v/>
      </c>
    </row>
    <row r="216" spans="1:15" ht="15.75" customHeight="1" x14ac:dyDescent="0.25">
      <c r="A216" s="1" t="s">
        <v>630</v>
      </c>
      <c r="B216" s="1" t="s">
        <v>138</v>
      </c>
      <c r="C216" s="1" t="s">
        <v>631</v>
      </c>
      <c r="D216" s="2" t="s">
        <v>632</v>
      </c>
      <c r="E216" s="1" t="s">
        <v>633</v>
      </c>
      <c r="F216" s="1" t="s">
        <v>20</v>
      </c>
      <c r="G216" s="1" t="s">
        <v>21</v>
      </c>
      <c r="H216" s="1" t="s">
        <v>634</v>
      </c>
      <c r="I216" s="1" t="s">
        <v>16</v>
      </c>
      <c r="J216" s="1" t="s">
        <v>16</v>
      </c>
      <c r="K216" s="4" t="s">
        <v>16</v>
      </c>
      <c r="L216" s="1" t="s">
        <v>23</v>
      </c>
      <c r="M216" s="1" t="s">
        <v>58</v>
      </c>
      <c r="N216" s="7" t="str">
        <f>IFERROR(VLOOKUP(#REF!,'2. Buzzi Admin Only'!N:O,2,0),"")</f>
        <v/>
      </c>
      <c r="O216" s="6" t="str">
        <f>IFERROR(VLOOKUP(K216,'2. Buzzi Admin Only'!Q:R,2,0),"")</f>
        <v/>
      </c>
    </row>
    <row r="217" spans="1:15" ht="15.75" customHeight="1" x14ac:dyDescent="0.25">
      <c r="A217" s="1" t="s">
        <v>635</v>
      </c>
      <c r="B217" s="1" t="s">
        <v>16</v>
      </c>
      <c r="C217" s="1" t="s">
        <v>16</v>
      </c>
      <c r="D217" s="2" t="s">
        <v>16</v>
      </c>
      <c r="E217" s="1" t="s">
        <v>636</v>
      </c>
      <c r="F217" s="1" t="s">
        <v>141</v>
      </c>
      <c r="G217" s="1" t="s">
        <v>152</v>
      </c>
      <c r="H217" s="1" t="s">
        <v>637</v>
      </c>
      <c r="I217" s="1" t="s">
        <v>16</v>
      </c>
      <c r="J217" s="1" t="s">
        <v>16</v>
      </c>
      <c r="K217" s="4" t="s">
        <v>16</v>
      </c>
      <c r="L217" s="1" t="s">
        <v>577</v>
      </c>
      <c r="M217" s="1" t="s">
        <v>638</v>
      </c>
      <c r="N217" s="7" t="str">
        <f>IFERROR(VLOOKUP(#REF!,'2. Buzzi Admin Only'!N:O,2,0),"")</f>
        <v/>
      </c>
      <c r="O217" s="6" t="str">
        <f>IFERROR(VLOOKUP(K217,'2. Buzzi Admin Only'!Q:R,2,0),"")</f>
        <v/>
      </c>
    </row>
    <row r="218" spans="1:15" ht="15.75" customHeight="1" x14ac:dyDescent="0.25">
      <c r="A218" s="1" t="s">
        <v>639</v>
      </c>
      <c r="B218" s="1" t="s">
        <v>38</v>
      </c>
      <c r="C218" s="1" t="s">
        <v>16</v>
      </c>
      <c r="D218" s="2" t="s">
        <v>640</v>
      </c>
      <c r="E218" s="1" t="s">
        <v>641</v>
      </c>
      <c r="F218" s="1" t="s">
        <v>20</v>
      </c>
      <c r="G218" s="1" t="s">
        <v>21</v>
      </c>
      <c r="H218" s="1" t="s">
        <v>642</v>
      </c>
      <c r="I218" s="1" t="s">
        <v>16</v>
      </c>
      <c r="J218" s="1" t="s">
        <v>57</v>
      </c>
      <c r="K218" s="10">
        <v>700</v>
      </c>
      <c r="L218" s="1" t="s">
        <v>23</v>
      </c>
      <c r="M218" s="1" t="s">
        <v>58</v>
      </c>
      <c r="N218" s="7" t="str">
        <f>IFERROR(VLOOKUP(#REF!,'2. Buzzi Admin Only'!N:O,2,0),"")</f>
        <v/>
      </c>
      <c r="O218" s="6" t="str">
        <f>IFERROR(VLOOKUP(K218,'2. Buzzi Admin Only'!Q:R,2,0),"")</f>
        <v>Power Generation (Turbines, Boilers)</v>
      </c>
    </row>
    <row r="219" spans="1:15" ht="15.75" customHeight="1" x14ac:dyDescent="0.25">
      <c r="A219" s="1" t="s">
        <v>643</v>
      </c>
      <c r="B219" s="1" t="s">
        <v>138</v>
      </c>
      <c r="C219" s="1" t="s">
        <v>16</v>
      </c>
      <c r="D219" s="2" t="s">
        <v>644</v>
      </c>
      <c r="E219" s="1" t="s">
        <v>645</v>
      </c>
      <c r="F219" s="1" t="s">
        <v>20</v>
      </c>
      <c r="G219" s="1" t="s">
        <v>21</v>
      </c>
      <c r="H219" s="1" t="s">
        <v>646</v>
      </c>
      <c r="I219" s="1" t="s">
        <v>16</v>
      </c>
      <c r="J219" s="1" t="s">
        <v>57</v>
      </c>
      <c r="K219" s="4" t="s">
        <v>16</v>
      </c>
      <c r="L219" s="1" t="s">
        <v>23</v>
      </c>
      <c r="M219" s="1" t="s">
        <v>647</v>
      </c>
      <c r="N219" s="7" t="str">
        <f>IFERROR(VLOOKUP(#REF!,'2. Buzzi Admin Only'!N:O,2,0),"")</f>
        <v/>
      </c>
      <c r="O219" s="6" t="str">
        <f>IFERROR(VLOOKUP(K219,'2. Buzzi Admin Only'!Q:R,2,0),"")</f>
        <v/>
      </c>
    </row>
    <row r="220" spans="1:15" ht="15.75" customHeight="1" x14ac:dyDescent="0.25">
      <c r="A220" s="1" t="s">
        <v>648</v>
      </c>
      <c r="B220" s="1" t="s">
        <v>16</v>
      </c>
      <c r="C220" s="1" t="s">
        <v>16</v>
      </c>
      <c r="D220" s="2" t="s">
        <v>649</v>
      </c>
      <c r="E220" s="1" t="s">
        <v>650</v>
      </c>
      <c r="F220" s="1" t="s">
        <v>16</v>
      </c>
      <c r="G220" s="1" t="s">
        <v>16</v>
      </c>
      <c r="H220" s="1" t="s">
        <v>651</v>
      </c>
      <c r="I220" s="1" t="s">
        <v>16</v>
      </c>
      <c r="J220" s="1" t="s">
        <v>16</v>
      </c>
      <c r="K220" s="4" t="s">
        <v>16</v>
      </c>
      <c r="L220" s="1" t="s">
        <v>489</v>
      </c>
      <c r="M220" s="1" t="s">
        <v>150</v>
      </c>
      <c r="N220" s="7" t="str">
        <f>IFERROR(VLOOKUP(#REF!,'2. Buzzi Admin Only'!N:O,2,0),"")</f>
        <v/>
      </c>
      <c r="O220" s="6" t="str">
        <f>IFERROR(VLOOKUP(K220,'2. Buzzi Admin Only'!Q:R,2,0),"")</f>
        <v/>
      </c>
    </row>
    <row r="221" spans="1:15" ht="15.75" customHeight="1" x14ac:dyDescent="0.25">
      <c r="A221" s="1" t="s">
        <v>652</v>
      </c>
      <c r="B221" s="1" t="s">
        <v>158</v>
      </c>
      <c r="C221" s="1" t="s">
        <v>262</v>
      </c>
      <c r="D221" s="2" t="s">
        <v>653</v>
      </c>
      <c r="E221" s="1" t="s">
        <v>654</v>
      </c>
      <c r="F221" s="1" t="s">
        <v>20</v>
      </c>
      <c r="G221" s="1" t="s">
        <v>44</v>
      </c>
      <c r="H221" s="1" t="s">
        <v>16</v>
      </c>
      <c r="I221" s="1" t="s">
        <v>16</v>
      </c>
      <c r="J221" s="1" t="s">
        <v>57</v>
      </c>
      <c r="K221" s="4" t="s">
        <v>16</v>
      </c>
      <c r="L221" s="1" t="s">
        <v>23</v>
      </c>
      <c r="M221" s="1" t="s">
        <v>58</v>
      </c>
      <c r="N221" s="7" t="str">
        <f>IFERROR(VLOOKUP(#REF!,'2. Buzzi Admin Only'!N:O,2,0),"")</f>
        <v/>
      </c>
      <c r="O221" s="6" t="str">
        <f>IFERROR(VLOOKUP(K221,'2. Buzzi Admin Only'!Q:R,2,0),"")</f>
        <v/>
      </c>
    </row>
    <row r="222" spans="1:15" ht="15.75" customHeight="1" x14ac:dyDescent="0.25">
      <c r="A222" s="1" t="s">
        <v>655</v>
      </c>
      <c r="B222" s="1" t="s">
        <v>16</v>
      </c>
      <c r="C222" s="1" t="s">
        <v>16</v>
      </c>
      <c r="D222" s="2" t="s">
        <v>16</v>
      </c>
      <c r="E222" s="1" t="s">
        <v>656</v>
      </c>
      <c r="F222" s="1" t="s">
        <v>141</v>
      </c>
      <c r="G222" s="1" t="s">
        <v>194</v>
      </c>
      <c r="H222" s="1" t="s">
        <v>657</v>
      </c>
      <c r="I222" s="1" t="s">
        <v>16</v>
      </c>
      <c r="J222" s="1" t="s">
        <v>16</v>
      </c>
      <c r="K222" s="4" t="s">
        <v>16</v>
      </c>
      <c r="L222" s="1" t="s">
        <v>120</v>
      </c>
      <c r="M222" s="1" t="s">
        <v>658</v>
      </c>
      <c r="N222" s="7" t="str">
        <f>IFERROR(VLOOKUP(#REF!,'2. Buzzi Admin Only'!N:O,2,0),"")</f>
        <v/>
      </c>
      <c r="O222" s="6" t="str">
        <f>IFERROR(VLOOKUP(K222,'2. Buzzi Admin Only'!Q:R,2,0),"")</f>
        <v/>
      </c>
    </row>
    <row r="223" spans="1:15" ht="15.75" customHeight="1" x14ac:dyDescent="0.25">
      <c r="A223" s="1" t="s">
        <v>659</v>
      </c>
      <c r="B223" s="1" t="s">
        <v>138</v>
      </c>
      <c r="C223" s="1" t="s">
        <v>660</v>
      </c>
      <c r="D223" s="2" t="s">
        <v>661</v>
      </c>
      <c r="E223" s="1" t="s">
        <v>304</v>
      </c>
      <c r="F223" s="1" t="s">
        <v>20</v>
      </c>
      <c r="G223" s="1" t="s">
        <v>21</v>
      </c>
      <c r="H223" s="1" t="s">
        <v>662</v>
      </c>
      <c r="I223" s="1" t="s">
        <v>16</v>
      </c>
      <c r="J223" s="1" t="s">
        <v>16</v>
      </c>
      <c r="K223" s="4" t="s">
        <v>16</v>
      </c>
      <c r="L223" s="1" t="s">
        <v>23</v>
      </c>
      <c r="M223" s="1" t="s">
        <v>42</v>
      </c>
      <c r="N223" s="7" t="str">
        <f>IFERROR(VLOOKUP(#REF!,'2. Buzzi Admin Only'!N:O,2,0),"")</f>
        <v/>
      </c>
      <c r="O223" s="6" t="str">
        <f>IFERROR(VLOOKUP(K223,'2. Buzzi Admin Only'!Q:R,2,0),"")</f>
        <v/>
      </c>
    </row>
    <row r="224" spans="1:15" ht="15.75" customHeight="1" x14ac:dyDescent="0.25">
      <c r="A224" s="1" t="s">
        <v>663</v>
      </c>
      <c r="B224" s="1" t="s">
        <v>38</v>
      </c>
      <c r="C224" s="1" t="s">
        <v>16</v>
      </c>
      <c r="D224" s="2" t="s">
        <v>567</v>
      </c>
      <c r="E224" s="1" t="s">
        <v>664</v>
      </c>
      <c r="F224" s="1" t="s">
        <v>20</v>
      </c>
      <c r="G224" s="1" t="s">
        <v>28</v>
      </c>
      <c r="H224" s="1" t="s">
        <v>665</v>
      </c>
      <c r="I224" s="1" t="s">
        <v>16</v>
      </c>
      <c r="J224" s="1" t="s">
        <v>16</v>
      </c>
      <c r="K224" s="4" t="s">
        <v>16</v>
      </c>
      <c r="L224" s="1" t="s">
        <v>23</v>
      </c>
      <c r="M224" s="1" t="s">
        <v>58</v>
      </c>
      <c r="N224" s="7" t="str">
        <f>IFERROR(VLOOKUP(#REF!,'2. Buzzi Admin Only'!N:O,2,0),"")</f>
        <v/>
      </c>
      <c r="O224" s="6" t="str">
        <f>IFERROR(VLOOKUP(K224,'2. Buzzi Admin Only'!Q:R,2,0),"")</f>
        <v/>
      </c>
    </row>
    <row r="225" spans="1:15" ht="15.75" customHeight="1" x14ac:dyDescent="0.25">
      <c r="A225" s="1" t="s">
        <v>666</v>
      </c>
      <c r="B225" s="1" t="s">
        <v>38</v>
      </c>
      <c r="C225" s="1" t="s">
        <v>560</v>
      </c>
      <c r="D225" s="2" t="s">
        <v>667</v>
      </c>
      <c r="E225" s="1" t="s">
        <v>540</v>
      </c>
      <c r="F225" s="1" t="s">
        <v>20</v>
      </c>
      <c r="G225" s="1" t="s">
        <v>28</v>
      </c>
      <c r="H225" s="1" t="s">
        <v>370</v>
      </c>
      <c r="I225" s="1" t="s">
        <v>16</v>
      </c>
      <c r="J225" s="1" t="s">
        <v>16</v>
      </c>
      <c r="K225" s="4" t="s">
        <v>16</v>
      </c>
      <c r="L225" s="1" t="s">
        <v>23</v>
      </c>
      <c r="M225" s="1" t="s">
        <v>623</v>
      </c>
      <c r="N225" s="7" t="str">
        <f>IFERROR(VLOOKUP(#REF!,'2. Buzzi Admin Only'!N:O,2,0),"")</f>
        <v/>
      </c>
      <c r="O225" s="6" t="str">
        <f>IFERROR(VLOOKUP(K225,'2. Buzzi Admin Only'!Q:R,2,0),"")</f>
        <v/>
      </c>
    </row>
    <row r="226" spans="1:15" ht="15.75" customHeight="1" x14ac:dyDescent="0.25">
      <c r="A226" s="1" t="s">
        <v>668</v>
      </c>
      <c r="B226" s="1" t="s">
        <v>16</v>
      </c>
      <c r="C226" s="1" t="s">
        <v>16</v>
      </c>
      <c r="D226" s="2" t="s">
        <v>669</v>
      </c>
      <c r="E226" s="1" t="s">
        <v>670</v>
      </c>
      <c r="F226" s="1" t="s">
        <v>20</v>
      </c>
      <c r="G226" s="1" t="s">
        <v>70</v>
      </c>
      <c r="H226" s="1" t="s">
        <v>16</v>
      </c>
      <c r="I226" s="1" t="s">
        <v>16</v>
      </c>
      <c r="J226" s="1" t="s">
        <v>16</v>
      </c>
      <c r="K226" s="4" t="s">
        <v>16</v>
      </c>
      <c r="L226" s="1" t="s">
        <v>71</v>
      </c>
      <c r="M226" s="1" t="s">
        <v>16</v>
      </c>
      <c r="N226" s="7" t="str">
        <f>IFERROR(VLOOKUP(#REF!,'2. Buzzi Admin Only'!N:O,2,0),"")</f>
        <v/>
      </c>
      <c r="O226" s="6" t="str">
        <f>IFERROR(VLOOKUP(K226,'2. Buzzi Admin Only'!Q:R,2,0),"")</f>
        <v/>
      </c>
    </row>
    <row r="227" spans="1:15" ht="15.75" customHeight="1" x14ac:dyDescent="0.25">
      <c r="A227" s="1" t="s">
        <v>671</v>
      </c>
      <c r="B227" s="1" t="s">
        <v>16</v>
      </c>
      <c r="C227" s="1" t="s">
        <v>672</v>
      </c>
      <c r="D227" s="2" t="s">
        <v>673</v>
      </c>
      <c r="E227" s="1" t="s">
        <v>674</v>
      </c>
      <c r="F227" s="1" t="s">
        <v>141</v>
      </c>
      <c r="G227" s="1" t="s">
        <v>152</v>
      </c>
      <c r="H227" s="1" t="s">
        <v>675</v>
      </c>
      <c r="I227" s="1" t="s">
        <v>16</v>
      </c>
      <c r="J227" s="1" t="s">
        <v>16</v>
      </c>
      <c r="K227" s="4" t="s">
        <v>16</v>
      </c>
      <c r="L227" s="1" t="s">
        <v>23</v>
      </c>
      <c r="M227" s="1" t="s">
        <v>676</v>
      </c>
      <c r="N227" s="7" t="str">
        <f>IFERROR(VLOOKUP(#REF!,'2. Buzzi Admin Only'!N:O,2,0),"")</f>
        <v/>
      </c>
      <c r="O227" s="6" t="str">
        <f>IFERROR(VLOOKUP(K227,'2. Buzzi Admin Only'!Q:R,2,0),"")</f>
        <v/>
      </c>
    </row>
    <row r="228" spans="1:15" ht="15.75" customHeight="1" x14ac:dyDescent="0.25">
      <c r="A228" s="1" t="s">
        <v>677</v>
      </c>
      <c r="B228" s="1" t="s">
        <v>16</v>
      </c>
      <c r="C228" s="1" t="s">
        <v>16</v>
      </c>
      <c r="D228" s="2" t="s">
        <v>16</v>
      </c>
      <c r="E228" s="1" t="s">
        <v>16</v>
      </c>
      <c r="F228" s="1" t="s">
        <v>16</v>
      </c>
      <c r="G228" s="1" t="s">
        <v>16</v>
      </c>
      <c r="H228" s="1" t="s">
        <v>16</v>
      </c>
      <c r="I228" s="1" t="s">
        <v>16</v>
      </c>
      <c r="J228" s="1" t="s">
        <v>16</v>
      </c>
      <c r="K228" s="4" t="s">
        <v>16</v>
      </c>
      <c r="L228" s="1" t="s">
        <v>23</v>
      </c>
      <c r="M228" s="1" t="s">
        <v>16</v>
      </c>
      <c r="N228" s="7" t="str">
        <f>IFERROR(VLOOKUP(#REF!,'2. Buzzi Admin Only'!N:O,2,0),"")</f>
        <v/>
      </c>
      <c r="O228" s="6" t="str">
        <f>IFERROR(VLOOKUP(K228,'2. Buzzi Admin Only'!Q:R,2,0),"")</f>
        <v/>
      </c>
    </row>
    <row r="229" spans="1:15" ht="15.75" customHeight="1" x14ac:dyDescent="0.25">
      <c r="A229" s="1" t="s">
        <v>678</v>
      </c>
      <c r="B229" s="1" t="s">
        <v>16</v>
      </c>
      <c r="C229" s="1" t="s">
        <v>16</v>
      </c>
      <c r="D229" s="2" t="s">
        <v>16</v>
      </c>
      <c r="E229" s="1" t="s">
        <v>679</v>
      </c>
      <c r="F229" s="1" t="s">
        <v>130</v>
      </c>
      <c r="G229" s="1" t="s">
        <v>680</v>
      </c>
      <c r="H229" s="1" t="s">
        <v>681</v>
      </c>
      <c r="I229" s="1" t="s">
        <v>16</v>
      </c>
      <c r="J229" s="1" t="s">
        <v>16</v>
      </c>
      <c r="K229" s="4" t="s">
        <v>16</v>
      </c>
      <c r="L229" s="1" t="s">
        <v>120</v>
      </c>
      <c r="M229" s="1" t="s">
        <v>319</v>
      </c>
      <c r="N229" s="7" t="str">
        <f>IFERROR(VLOOKUP(#REF!,'2. Buzzi Admin Only'!N:O,2,0),"")</f>
        <v/>
      </c>
      <c r="O229" s="6" t="str">
        <f>IFERROR(VLOOKUP(K229,'2. Buzzi Admin Only'!Q:R,2,0),"")</f>
        <v/>
      </c>
    </row>
    <row r="230" spans="1:15" ht="15.75" customHeight="1" x14ac:dyDescent="0.25">
      <c r="A230" s="1" t="s">
        <v>682</v>
      </c>
      <c r="B230" s="1" t="s">
        <v>16</v>
      </c>
      <c r="C230" s="1" t="s">
        <v>16</v>
      </c>
      <c r="D230" s="2" t="s">
        <v>683</v>
      </c>
      <c r="E230" s="1" t="s">
        <v>40</v>
      </c>
      <c r="F230" s="1" t="s">
        <v>20</v>
      </c>
      <c r="G230" s="1" t="s">
        <v>28</v>
      </c>
      <c r="H230" s="1" t="s">
        <v>16</v>
      </c>
      <c r="I230" s="1" t="s">
        <v>16</v>
      </c>
      <c r="J230" s="1" t="s">
        <v>16</v>
      </c>
      <c r="K230" s="4" t="s">
        <v>16</v>
      </c>
      <c r="L230" s="1" t="s">
        <v>23</v>
      </c>
      <c r="M230" s="1" t="s">
        <v>684</v>
      </c>
      <c r="N230" s="7" t="str">
        <f>IFERROR(VLOOKUP(#REF!,'2. Buzzi Admin Only'!N:O,2,0),"")</f>
        <v/>
      </c>
      <c r="O230" s="6" t="str">
        <f>IFERROR(VLOOKUP(K230,'2. Buzzi Admin Only'!Q:R,2,0),"")</f>
        <v/>
      </c>
    </row>
    <row r="231" spans="1:15" ht="15.75" customHeight="1" x14ac:dyDescent="0.25">
      <c r="A231" s="1" t="s">
        <v>685</v>
      </c>
      <c r="B231" s="1" t="s">
        <v>16</v>
      </c>
      <c r="C231" s="1" t="s">
        <v>16</v>
      </c>
      <c r="D231" s="2" t="s">
        <v>686</v>
      </c>
      <c r="E231" s="1" t="s">
        <v>687</v>
      </c>
      <c r="F231" s="1" t="s">
        <v>141</v>
      </c>
      <c r="G231" s="1" t="s">
        <v>194</v>
      </c>
      <c r="H231" s="1" t="s">
        <v>688</v>
      </c>
      <c r="I231" s="1" t="s">
        <v>16</v>
      </c>
      <c r="J231" s="1" t="s">
        <v>16</v>
      </c>
      <c r="K231" s="4" t="s">
        <v>16</v>
      </c>
      <c r="L231" s="1" t="s">
        <v>271</v>
      </c>
      <c r="M231" s="1" t="s">
        <v>689</v>
      </c>
      <c r="N231" s="7" t="str">
        <f>IFERROR(VLOOKUP(#REF!,'2. Buzzi Admin Only'!N:O,2,0),"")</f>
        <v/>
      </c>
      <c r="O231" s="6" t="str">
        <f>IFERROR(VLOOKUP(K231,'2. Buzzi Admin Only'!Q:R,2,0),"")</f>
        <v/>
      </c>
    </row>
    <row r="232" spans="1:15" ht="15.75" customHeight="1" x14ac:dyDescent="0.25">
      <c r="A232" s="1" t="s">
        <v>690</v>
      </c>
      <c r="B232" s="1" t="s">
        <v>16</v>
      </c>
      <c r="C232" s="1" t="s">
        <v>16</v>
      </c>
      <c r="D232" s="2" t="s">
        <v>16</v>
      </c>
      <c r="E232" s="1" t="s">
        <v>16</v>
      </c>
      <c r="F232" s="1" t="s">
        <v>16</v>
      </c>
      <c r="G232" s="1" t="s">
        <v>16</v>
      </c>
      <c r="H232" s="1" t="s">
        <v>16</v>
      </c>
      <c r="I232" s="1" t="s">
        <v>16</v>
      </c>
      <c r="J232" s="1" t="s">
        <v>16</v>
      </c>
      <c r="K232" s="4" t="s">
        <v>16</v>
      </c>
      <c r="L232" s="1" t="s">
        <v>71</v>
      </c>
      <c r="M232" s="1" t="s">
        <v>16</v>
      </c>
      <c r="N232" s="7" t="str">
        <f>IFERROR(VLOOKUP(#REF!,'2. Buzzi Admin Only'!N:O,2,0),"")</f>
        <v/>
      </c>
      <c r="O232" s="6" t="str">
        <f>IFERROR(VLOOKUP(K232,'2. Buzzi Admin Only'!Q:R,2,0),"")</f>
        <v/>
      </c>
    </row>
    <row r="233" spans="1:15" ht="15.75" customHeight="1" x14ac:dyDescent="0.25">
      <c r="A233" s="1" t="s">
        <v>691</v>
      </c>
      <c r="B233" s="1" t="s">
        <v>16</v>
      </c>
      <c r="C233" s="1" t="s">
        <v>16</v>
      </c>
      <c r="D233" s="2" t="s">
        <v>692</v>
      </c>
      <c r="E233" s="1" t="s">
        <v>693</v>
      </c>
      <c r="F233" s="1" t="s">
        <v>20</v>
      </c>
      <c r="G233" s="1" t="s">
        <v>225</v>
      </c>
      <c r="H233" s="1" t="s">
        <v>16</v>
      </c>
      <c r="I233" s="1" t="s">
        <v>16</v>
      </c>
      <c r="J233" s="1" t="s">
        <v>16</v>
      </c>
      <c r="K233" s="4" t="s">
        <v>16</v>
      </c>
      <c r="L233" s="1" t="s">
        <v>23</v>
      </c>
      <c r="M233" s="1" t="s">
        <v>530</v>
      </c>
      <c r="N233" s="7" t="str">
        <f>IFERROR(VLOOKUP(#REF!,'2. Buzzi Admin Only'!N:O,2,0),"")</f>
        <v/>
      </c>
      <c r="O233" s="6" t="str">
        <f>IFERROR(VLOOKUP(K233,'2. Buzzi Admin Only'!Q:R,2,0),"")</f>
        <v/>
      </c>
    </row>
    <row r="234" spans="1:15" ht="15.75" customHeight="1" x14ac:dyDescent="0.25">
      <c r="A234" s="1" t="s">
        <v>694</v>
      </c>
      <c r="B234" s="1" t="s">
        <v>16</v>
      </c>
      <c r="C234" s="1" t="s">
        <v>16</v>
      </c>
      <c r="D234" s="2" t="s">
        <v>16</v>
      </c>
      <c r="E234" s="1" t="s">
        <v>16</v>
      </c>
      <c r="F234" s="1" t="s">
        <v>16</v>
      </c>
      <c r="G234" s="1" t="s">
        <v>16</v>
      </c>
      <c r="H234" s="1" t="s">
        <v>16</v>
      </c>
      <c r="I234" s="1" t="s">
        <v>16</v>
      </c>
      <c r="J234" s="1" t="s">
        <v>16</v>
      </c>
      <c r="K234" s="4" t="s">
        <v>16</v>
      </c>
      <c r="L234" s="1" t="s">
        <v>16</v>
      </c>
      <c r="M234" s="1" t="s">
        <v>16</v>
      </c>
      <c r="N234" s="7" t="str">
        <f>IFERROR(VLOOKUP(#REF!,'2. Buzzi Admin Only'!N:O,2,0),"")</f>
        <v/>
      </c>
      <c r="O234" s="6" t="str">
        <f>IFERROR(VLOOKUP(K234,'2. Buzzi Admin Only'!Q:R,2,0),"")</f>
        <v/>
      </c>
    </row>
    <row r="235" spans="1:15" ht="15.75" customHeight="1" x14ac:dyDescent="0.25">
      <c r="A235" s="1" t="s">
        <v>695</v>
      </c>
      <c r="B235" s="1" t="s">
        <v>16</v>
      </c>
      <c r="C235" s="1" t="s">
        <v>560</v>
      </c>
      <c r="D235" s="2" t="s">
        <v>696</v>
      </c>
      <c r="E235" s="1" t="s">
        <v>40</v>
      </c>
      <c r="F235" s="1" t="s">
        <v>20</v>
      </c>
      <c r="G235" s="1" t="s">
        <v>21</v>
      </c>
      <c r="H235" s="1" t="s">
        <v>697</v>
      </c>
      <c r="I235" s="1" t="s">
        <v>16</v>
      </c>
      <c r="J235" s="1" t="s">
        <v>16</v>
      </c>
      <c r="K235" s="4" t="s">
        <v>16</v>
      </c>
      <c r="L235" s="1" t="s">
        <v>23</v>
      </c>
      <c r="M235" s="1" t="s">
        <v>16</v>
      </c>
      <c r="N235" s="7" t="str">
        <f>IFERROR(VLOOKUP(#REF!,'2. Buzzi Admin Only'!N:O,2,0),"")</f>
        <v/>
      </c>
      <c r="O235" s="6" t="str">
        <f>IFERROR(VLOOKUP(K235,'2. Buzzi Admin Only'!Q:R,2,0),"")</f>
        <v/>
      </c>
    </row>
    <row r="236" spans="1:15" ht="15.75" customHeight="1" x14ac:dyDescent="0.25">
      <c r="A236" s="1" t="s">
        <v>698</v>
      </c>
      <c r="B236" s="1" t="s">
        <v>16</v>
      </c>
      <c r="C236" s="1" t="s">
        <v>16</v>
      </c>
      <c r="D236" s="2" t="s">
        <v>16</v>
      </c>
      <c r="E236" s="1" t="s">
        <v>16</v>
      </c>
      <c r="F236" s="1" t="s">
        <v>16</v>
      </c>
      <c r="G236" s="1" t="s">
        <v>16</v>
      </c>
      <c r="H236" s="1" t="s">
        <v>16</v>
      </c>
      <c r="I236" s="1" t="s">
        <v>16</v>
      </c>
      <c r="J236" s="1" t="s">
        <v>16</v>
      </c>
      <c r="K236" s="4" t="s">
        <v>16</v>
      </c>
      <c r="L236" s="1" t="s">
        <v>16</v>
      </c>
      <c r="M236" s="1" t="s">
        <v>16</v>
      </c>
      <c r="N236" s="7" t="str">
        <f>IFERROR(VLOOKUP(#REF!,'2. Buzzi Admin Only'!N:O,2,0),"")</f>
        <v/>
      </c>
      <c r="O236" s="6" t="str">
        <f>IFERROR(VLOOKUP(K236,'2. Buzzi Admin Only'!Q:R,2,0),"")</f>
        <v/>
      </c>
    </row>
    <row r="237" spans="1:15" ht="15.75" customHeight="1" x14ac:dyDescent="0.25">
      <c r="A237" s="1" t="s">
        <v>699</v>
      </c>
      <c r="B237" s="1" t="s">
        <v>38</v>
      </c>
      <c r="C237" s="1" t="s">
        <v>16</v>
      </c>
      <c r="D237" s="2" t="s">
        <v>700</v>
      </c>
      <c r="E237" s="1" t="s">
        <v>40</v>
      </c>
      <c r="F237" s="1" t="s">
        <v>20</v>
      </c>
      <c r="G237" s="1" t="s">
        <v>21</v>
      </c>
      <c r="H237" s="1" t="s">
        <v>701</v>
      </c>
      <c r="I237" s="1" t="s">
        <v>16</v>
      </c>
      <c r="J237" s="1" t="s">
        <v>16</v>
      </c>
      <c r="K237" s="4" t="s">
        <v>16</v>
      </c>
      <c r="L237" s="1" t="s">
        <v>23</v>
      </c>
      <c r="M237" s="1" t="s">
        <v>16</v>
      </c>
      <c r="N237" s="7" t="str">
        <f>IFERROR(VLOOKUP(#REF!,'2. Buzzi Admin Only'!N:O,2,0),"")</f>
        <v/>
      </c>
      <c r="O237" s="6" t="str">
        <f>IFERROR(VLOOKUP(K237,'2. Buzzi Admin Only'!Q:R,2,0),"")</f>
        <v/>
      </c>
    </row>
    <row r="238" spans="1:15" ht="15.75" customHeight="1" x14ac:dyDescent="0.25">
      <c r="A238" s="1" t="s">
        <v>702</v>
      </c>
      <c r="B238" s="1" t="s">
        <v>16</v>
      </c>
      <c r="C238" s="1" t="s">
        <v>16</v>
      </c>
      <c r="D238" s="2" t="s">
        <v>703</v>
      </c>
      <c r="E238" s="1" t="s">
        <v>704</v>
      </c>
      <c r="F238" s="1" t="s">
        <v>141</v>
      </c>
      <c r="G238" s="1" t="s">
        <v>194</v>
      </c>
      <c r="H238" s="1" t="s">
        <v>16</v>
      </c>
      <c r="I238" s="1" t="s">
        <v>16</v>
      </c>
      <c r="J238" s="1" t="s">
        <v>16</v>
      </c>
      <c r="K238" s="4" t="s">
        <v>16</v>
      </c>
      <c r="L238" s="1" t="s">
        <v>120</v>
      </c>
      <c r="M238" s="1" t="s">
        <v>705</v>
      </c>
      <c r="N238" s="7" t="str">
        <f>IFERROR(VLOOKUP(#REF!,'2. Buzzi Admin Only'!N:O,2,0),"")</f>
        <v/>
      </c>
      <c r="O238" s="6" t="str">
        <f>IFERROR(VLOOKUP(K238,'2. Buzzi Admin Only'!Q:R,2,0),"")</f>
        <v/>
      </c>
    </row>
    <row r="239" spans="1:15" ht="15.75" customHeight="1" x14ac:dyDescent="0.25">
      <c r="A239" s="1" t="s">
        <v>706</v>
      </c>
      <c r="B239" s="1" t="s">
        <v>16</v>
      </c>
      <c r="C239" s="1" t="s">
        <v>16</v>
      </c>
      <c r="D239" s="2" t="s">
        <v>707</v>
      </c>
      <c r="E239" s="1" t="s">
        <v>708</v>
      </c>
      <c r="F239" s="1" t="s">
        <v>20</v>
      </c>
      <c r="G239" s="1" t="s">
        <v>28</v>
      </c>
      <c r="H239" s="1" t="s">
        <v>16</v>
      </c>
      <c r="I239" s="1" t="s">
        <v>16</v>
      </c>
      <c r="J239" s="1" t="s">
        <v>16</v>
      </c>
      <c r="K239" s="4" t="s">
        <v>16</v>
      </c>
      <c r="L239" s="1" t="s">
        <v>71</v>
      </c>
      <c r="M239" s="1" t="s">
        <v>16</v>
      </c>
      <c r="N239" s="7" t="str">
        <f>IFERROR(VLOOKUP(#REF!,'2. Buzzi Admin Only'!N:O,2,0),"")</f>
        <v/>
      </c>
      <c r="O239" s="6" t="str">
        <f>IFERROR(VLOOKUP(K239,'2. Buzzi Admin Only'!Q:R,2,0),"")</f>
        <v/>
      </c>
    </row>
    <row r="240" spans="1:15" ht="15.75" customHeight="1" x14ac:dyDescent="0.25">
      <c r="A240" s="1" t="s">
        <v>709</v>
      </c>
      <c r="B240" s="1" t="s">
        <v>158</v>
      </c>
      <c r="C240" s="1" t="s">
        <v>16</v>
      </c>
      <c r="D240" s="2" t="s">
        <v>710</v>
      </c>
      <c r="E240" s="1" t="s">
        <v>40</v>
      </c>
      <c r="F240" s="1" t="s">
        <v>20</v>
      </c>
      <c r="G240" s="1" t="s">
        <v>28</v>
      </c>
      <c r="H240" s="1" t="s">
        <v>16</v>
      </c>
      <c r="I240" s="1" t="s">
        <v>16</v>
      </c>
      <c r="J240" s="1" t="s">
        <v>16</v>
      </c>
      <c r="K240" s="4" t="s">
        <v>16</v>
      </c>
      <c r="L240" s="1" t="s">
        <v>23</v>
      </c>
      <c r="M240" s="1" t="s">
        <v>16</v>
      </c>
      <c r="N240" s="7" t="str">
        <f>IFERROR(VLOOKUP(#REF!,'2. Buzzi Admin Only'!N:O,2,0),"")</f>
        <v/>
      </c>
      <c r="O240" s="6" t="str">
        <f>IFERROR(VLOOKUP(K240,'2. Buzzi Admin Only'!Q:R,2,0),"")</f>
        <v/>
      </c>
    </row>
    <row r="241" spans="1:15" ht="15.75" customHeight="1" x14ac:dyDescent="0.25">
      <c r="A241" s="1" t="s">
        <v>711</v>
      </c>
      <c r="B241" s="1" t="s">
        <v>38</v>
      </c>
      <c r="C241" s="1" t="s">
        <v>16</v>
      </c>
      <c r="D241" s="2" t="s">
        <v>348</v>
      </c>
      <c r="E241" s="1" t="s">
        <v>712</v>
      </c>
      <c r="F241" s="1" t="s">
        <v>20</v>
      </c>
      <c r="G241" s="1" t="s">
        <v>21</v>
      </c>
      <c r="H241" s="1" t="s">
        <v>713</v>
      </c>
      <c r="I241" s="1" t="s">
        <v>16</v>
      </c>
      <c r="J241" s="1" t="s">
        <v>57</v>
      </c>
      <c r="K241" s="4" t="s">
        <v>16</v>
      </c>
      <c r="L241" s="1" t="s">
        <v>23</v>
      </c>
      <c r="M241" s="1" t="s">
        <v>714</v>
      </c>
      <c r="N241" s="7" t="str">
        <f>IFERROR(VLOOKUP(#REF!,'2. Buzzi Admin Only'!N:O,2,0),"")</f>
        <v/>
      </c>
      <c r="O241" s="6" t="str">
        <f>IFERROR(VLOOKUP(K241,'2. Buzzi Admin Only'!Q:R,2,0),"")</f>
        <v/>
      </c>
    </row>
    <row r="242" spans="1:15" ht="15.75" customHeight="1" x14ac:dyDescent="0.25">
      <c r="A242" s="1" t="s">
        <v>715</v>
      </c>
      <c r="B242" s="1" t="s">
        <v>158</v>
      </c>
      <c r="C242" s="1" t="s">
        <v>716</v>
      </c>
      <c r="D242" s="2" t="s">
        <v>18</v>
      </c>
      <c r="E242" s="1" t="s">
        <v>40</v>
      </c>
      <c r="F242" s="1" t="s">
        <v>20</v>
      </c>
      <c r="G242" s="1" t="s">
        <v>21</v>
      </c>
      <c r="H242" s="1" t="s">
        <v>717</v>
      </c>
      <c r="I242" s="1" t="s">
        <v>16</v>
      </c>
      <c r="J242" s="1" t="s">
        <v>16</v>
      </c>
      <c r="K242" s="4" t="s">
        <v>16</v>
      </c>
      <c r="L242" s="1" t="s">
        <v>23</v>
      </c>
      <c r="M242" s="1" t="s">
        <v>42</v>
      </c>
      <c r="N242" s="7" t="str">
        <f>IFERROR(VLOOKUP(#REF!,'2. Buzzi Admin Only'!N:O,2,0),"")</f>
        <v/>
      </c>
      <c r="O242" s="6" t="str">
        <f>IFERROR(VLOOKUP(K242,'2. Buzzi Admin Only'!Q:R,2,0),"")</f>
        <v/>
      </c>
    </row>
    <row r="243" spans="1:15" ht="15.75" customHeight="1" x14ac:dyDescent="0.25">
      <c r="A243" s="1" t="s">
        <v>718</v>
      </c>
      <c r="B243" s="1" t="s">
        <v>16</v>
      </c>
      <c r="C243" s="1" t="s">
        <v>16</v>
      </c>
      <c r="D243" s="2" t="s">
        <v>16</v>
      </c>
      <c r="E243" s="1" t="s">
        <v>719</v>
      </c>
      <c r="F243" s="1" t="s">
        <v>294</v>
      </c>
      <c r="G243" s="1" t="s">
        <v>28</v>
      </c>
      <c r="H243" s="1" t="s">
        <v>16</v>
      </c>
      <c r="I243" s="1" t="s">
        <v>16</v>
      </c>
      <c r="J243" s="1" t="s">
        <v>16</v>
      </c>
      <c r="K243" s="4" t="s">
        <v>16</v>
      </c>
      <c r="L243" s="1" t="s">
        <v>71</v>
      </c>
      <c r="M243" s="1" t="s">
        <v>16</v>
      </c>
      <c r="N243" s="7" t="str">
        <f>IFERROR(VLOOKUP(#REF!,'2. Buzzi Admin Only'!N:O,2,0),"")</f>
        <v/>
      </c>
      <c r="O243" s="6" t="str">
        <f>IFERROR(VLOOKUP(K243,'2. Buzzi Admin Only'!Q:R,2,0),"")</f>
        <v/>
      </c>
    </row>
    <row r="244" spans="1:15" ht="15.75" customHeight="1" x14ac:dyDescent="0.25">
      <c r="A244" s="1" t="s">
        <v>720</v>
      </c>
      <c r="B244" s="1" t="s">
        <v>16</v>
      </c>
      <c r="C244" s="1" t="s">
        <v>16</v>
      </c>
      <c r="D244" s="2" t="s">
        <v>721</v>
      </c>
      <c r="E244" s="1" t="s">
        <v>722</v>
      </c>
      <c r="F244" s="1" t="s">
        <v>141</v>
      </c>
      <c r="G244" s="1" t="s">
        <v>142</v>
      </c>
      <c r="H244" s="1" t="s">
        <v>723</v>
      </c>
      <c r="I244" s="1" t="s">
        <v>16</v>
      </c>
      <c r="J244" s="1" t="s">
        <v>16</v>
      </c>
      <c r="K244" s="4" t="s">
        <v>16</v>
      </c>
      <c r="L244" s="1" t="s">
        <v>23</v>
      </c>
      <c r="M244" s="1" t="s">
        <v>724</v>
      </c>
      <c r="N244" s="7" t="str">
        <f>IFERROR(VLOOKUP(#REF!,'2. Buzzi Admin Only'!N:O,2,0),"")</f>
        <v/>
      </c>
      <c r="O244" s="6" t="str">
        <f>IFERROR(VLOOKUP(K244,'2. Buzzi Admin Only'!Q:R,2,0),"")</f>
        <v/>
      </c>
    </row>
    <row r="245" spans="1:15" ht="15.75" customHeight="1" x14ac:dyDescent="0.25">
      <c r="A245" s="1" t="s">
        <v>725</v>
      </c>
      <c r="B245" s="1" t="s">
        <v>16</v>
      </c>
      <c r="C245" s="1" t="s">
        <v>16</v>
      </c>
      <c r="D245" s="2" t="s">
        <v>16</v>
      </c>
      <c r="E245" s="1" t="s">
        <v>437</v>
      </c>
      <c r="F245" s="1" t="s">
        <v>20</v>
      </c>
      <c r="G245" s="1" t="s">
        <v>44</v>
      </c>
      <c r="H245" s="1" t="s">
        <v>16</v>
      </c>
      <c r="I245" s="1" t="s">
        <v>16</v>
      </c>
      <c r="J245" s="1" t="s">
        <v>16</v>
      </c>
      <c r="K245" s="4" t="s">
        <v>16</v>
      </c>
      <c r="L245" s="1" t="s">
        <v>23</v>
      </c>
      <c r="M245" s="1" t="s">
        <v>16</v>
      </c>
      <c r="N245" s="7" t="str">
        <f>IFERROR(VLOOKUP(#REF!,'2. Buzzi Admin Only'!N:O,2,0),"")</f>
        <v/>
      </c>
      <c r="O245" s="6" t="str">
        <f>IFERROR(VLOOKUP(K245,'2. Buzzi Admin Only'!Q:R,2,0),"")</f>
        <v/>
      </c>
    </row>
    <row r="246" spans="1:15" ht="15.75" customHeight="1" x14ac:dyDescent="0.25">
      <c r="A246" s="1" t="s">
        <v>726</v>
      </c>
      <c r="B246" s="1" t="s">
        <v>16</v>
      </c>
      <c r="C246" s="1" t="s">
        <v>60</v>
      </c>
      <c r="D246" s="2" t="s">
        <v>727</v>
      </c>
      <c r="E246" s="1" t="s">
        <v>40</v>
      </c>
      <c r="F246" s="1" t="s">
        <v>20</v>
      </c>
      <c r="G246" s="1" t="s">
        <v>28</v>
      </c>
      <c r="H246" s="1" t="s">
        <v>16</v>
      </c>
      <c r="I246" s="1" t="s">
        <v>16</v>
      </c>
      <c r="J246" s="1" t="s">
        <v>16</v>
      </c>
      <c r="K246" s="4" t="s">
        <v>16</v>
      </c>
      <c r="L246" s="1" t="s">
        <v>23</v>
      </c>
      <c r="M246" s="1" t="s">
        <v>728</v>
      </c>
      <c r="N246" s="7" t="str">
        <f>IFERROR(VLOOKUP(#REF!,'2. Buzzi Admin Only'!N:O,2,0),"")</f>
        <v/>
      </c>
      <c r="O246" s="6" t="str">
        <f>IFERROR(VLOOKUP(K246,'2. Buzzi Admin Only'!Q:R,2,0),"")</f>
        <v/>
      </c>
    </row>
    <row r="247" spans="1:15" ht="15.75" customHeight="1" x14ac:dyDescent="0.25">
      <c r="A247" s="1" t="s">
        <v>729</v>
      </c>
      <c r="B247" s="1" t="s">
        <v>158</v>
      </c>
      <c r="C247" s="1" t="s">
        <v>16</v>
      </c>
      <c r="D247" s="2" t="s">
        <v>730</v>
      </c>
      <c r="E247" s="1" t="s">
        <v>731</v>
      </c>
      <c r="F247" s="1" t="s">
        <v>20</v>
      </c>
      <c r="G247" s="1" t="s">
        <v>44</v>
      </c>
      <c r="H247" s="1" t="s">
        <v>16</v>
      </c>
      <c r="I247" s="1" t="s">
        <v>16</v>
      </c>
      <c r="J247" s="1" t="s">
        <v>16</v>
      </c>
      <c r="K247" s="4" t="s">
        <v>16</v>
      </c>
      <c r="L247" s="1" t="s">
        <v>23</v>
      </c>
      <c r="M247" s="1" t="s">
        <v>732</v>
      </c>
      <c r="N247" s="7" t="str">
        <f>IFERROR(VLOOKUP(#REF!,'2. Buzzi Admin Only'!N:O,2,0),"")</f>
        <v/>
      </c>
      <c r="O247" s="6" t="str">
        <f>IFERROR(VLOOKUP(K247,'2. Buzzi Admin Only'!Q:R,2,0),"")</f>
        <v/>
      </c>
    </row>
    <row r="248" spans="1:15" ht="15.75" customHeight="1" x14ac:dyDescent="0.25">
      <c r="A248" s="1" t="s">
        <v>733</v>
      </c>
      <c r="B248" s="1" t="s">
        <v>16</v>
      </c>
      <c r="C248" s="1" t="s">
        <v>16</v>
      </c>
      <c r="D248" s="2" t="s">
        <v>16</v>
      </c>
      <c r="E248" s="1" t="s">
        <v>734</v>
      </c>
      <c r="F248" s="1" t="s">
        <v>20</v>
      </c>
      <c r="G248" s="1" t="s">
        <v>21</v>
      </c>
      <c r="H248" s="1" t="s">
        <v>735</v>
      </c>
      <c r="I248" s="1" t="s">
        <v>16</v>
      </c>
      <c r="J248" s="1" t="s">
        <v>16</v>
      </c>
      <c r="K248" s="4" t="s">
        <v>16</v>
      </c>
      <c r="L248" s="1" t="s">
        <v>23</v>
      </c>
      <c r="M248" s="1" t="s">
        <v>16</v>
      </c>
      <c r="N248" s="7" t="str">
        <f>IFERROR(VLOOKUP(#REF!,'2. Buzzi Admin Only'!N:O,2,0),"")</f>
        <v/>
      </c>
      <c r="O248" s="6" t="str">
        <f>IFERROR(VLOOKUP(K248,'2. Buzzi Admin Only'!Q:R,2,0),"")</f>
        <v/>
      </c>
    </row>
    <row r="249" spans="1:15" ht="15.75" customHeight="1" x14ac:dyDescent="0.25">
      <c r="A249" s="1" t="s">
        <v>736</v>
      </c>
      <c r="B249" s="1" t="s">
        <v>158</v>
      </c>
      <c r="C249" s="1" t="s">
        <v>16</v>
      </c>
      <c r="D249" s="2" t="s">
        <v>229</v>
      </c>
      <c r="E249" s="1" t="s">
        <v>737</v>
      </c>
      <c r="F249" s="1" t="s">
        <v>20</v>
      </c>
      <c r="G249" s="1" t="s">
        <v>21</v>
      </c>
      <c r="H249" s="1" t="s">
        <v>738</v>
      </c>
      <c r="I249" s="1" t="s">
        <v>16</v>
      </c>
      <c r="J249" s="1" t="s">
        <v>16</v>
      </c>
      <c r="K249" s="4" t="s">
        <v>16</v>
      </c>
      <c r="L249" s="1" t="s">
        <v>23</v>
      </c>
      <c r="M249" s="1" t="s">
        <v>739</v>
      </c>
      <c r="N249" s="7" t="str">
        <f>IFERROR(VLOOKUP(#REF!,'2. Buzzi Admin Only'!N:O,2,0),"")</f>
        <v/>
      </c>
      <c r="O249" s="6" t="str">
        <f>IFERROR(VLOOKUP(K249,'2. Buzzi Admin Only'!Q:R,2,0),"")</f>
        <v/>
      </c>
    </row>
    <row r="250" spans="1:15" ht="15.75" customHeight="1" x14ac:dyDescent="0.25">
      <c r="A250" s="1" t="s">
        <v>740</v>
      </c>
      <c r="B250" s="1" t="s">
        <v>16</v>
      </c>
      <c r="C250" s="1" t="s">
        <v>16</v>
      </c>
      <c r="D250" s="2" t="s">
        <v>16</v>
      </c>
      <c r="E250" s="1" t="s">
        <v>16</v>
      </c>
      <c r="F250" s="1" t="s">
        <v>16</v>
      </c>
      <c r="G250" s="1" t="s">
        <v>16</v>
      </c>
      <c r="H250" s="1" t="s">
        <v>16</v>
      </c>
      <c r="I250" s="1" t="s">
        <v>16</v>
      </c>
      <c r="J250" s="1" t="s">
        <v>16</v>
      </c>
      <c r="K250" s="4" t="s">
        <v>16</v>
      </c>
      <c r="L250" s="1" t="s">
        <v>16</v>
      </c>
      <c r="M250" s="1" t="s">
        <v>16</v>
      </c>
      <c r="N250" s="7" t="str">
        <f>IFERROR(VLOOKUP(#REF!,'2. Buzzi Admin Only'!N:O,2,0),"")</f>
        <v/>
      </c>
      <c r="O250" s="6" t="str">
        <f>IFERROR(VLOOKUP(K250,'2. Buzzi Admin Only'!Q:R,2,0),"")</f>
        <v/>
      </c>
    </row>
    <row r="251" spans="1:15" ht="15.75" customHeight="1" x14ac:dyDescent="0.25">
      <c r="A251" s="1" t="s">
        <v>741</v>
      </c>
      <c r="B251" s="1" t="s">
        <v>16</v>
      </c>
      <c r="C251" s="1" t="s">
        <v>16</v>
      </c>
      <c r="D251" s="2" t="s">
        <v>16</v>
      </c>
      <c r="E251" s="1" t="s">
        <v>742</v>
      </c>
      <c r="F251" s="1" t="s">
        <v>20</v>
      </c>
      <c r="G251" s="1" t="s">
        <v>28</v>
      </c>
      <c r="H251" s="1" t="s">
        <v>743</v>
      </c>
      <c r="I251" s="1" t="s">
        <v>16</v>
      </c>
      <c r="J251" s="1" t="s">
        <v>16</v>
      </c>
      <c r="K251" s="4" t="s">
        <v>16</v>
      </c>
      <c r="L251" s="1" t="s">
        <v>23</v>
      </c>
      <c r="M251" s="1" t="s">
        <v>744</v>
      </c>
      <c r="N251" s="7" t="str">
        <f>IFERROR(VLOOKUP(#REF!,'2. Buzzi Admin Only'!N:O,2,0),"")</f>
        <v/>
      </c>
      <c r="O251" s="6" t="str">
        <f>IFERROR(VLOOKUP(K251,'2. Buzzi Admin Only'!Q:R,2,0),"")</f>
        <v/>
      </c>
    </row>
    <row r="252" spans="1:15" ht="15.75" customHeight="1" x14ac:dyDescent="0.25">
      <c r="A252" s="1" t="s">
        <v>745</v>
      </c>
      <c r="B252" s="1" t="s">
        <v>138</v>
      </c>
      <c r="C252" s="1" t="s">
        <v>16</v>
      </c>
      <c r="D252" s="2" t="s">
        <v>746</v>
      </c>
      <c r="E252" s="1" t="s">
        <v>747</v>
      </c>
      <c r="F252" s="1" t="s">
        <v>20</v>
      </c>
      <c r="G252" s="1" t="s">
        <v>44</v>
      </c>
      <c r="H252" s="1" t="s">
        <v>748</v>
      </c>
      <c r="I252" s="1" t="s">
        <v>16</v>
      </c>
      <c r="J252" s="1" t="s">
        <v>57</v>
      </c>
      <c r="K252" s="4" t="s">
        <v>16</v>
      </c>
      <c r="L252" s="1" t="s">
        <v>23</v>
      </c>
      <c r="M252" s="1" t="s">
        <v>749</v>
      </c>
      <c r="N252" s="7" t="str">
        <f>IFERROR(VLOOKUP(#REF!,'2. Buzzi Admin Only'!N:O,2,0),"")</f>
        <v/>
      </c>
      <c r="O252" s="6" t="str">
        <f>IFERROR(VLOOKUP(K252,'2. Buzzi Admin Only'!Q:R,2,0),"")</f>
        <v/>
      </c>
    </row>
    <row r="253" spans="1:15" ht="15.75" customHeight="1" x14ac:dyDescent="0.25">
      <c r="A253" s="1" t="s">
        <v>750</v>
      </c>
      <c r="B253" s="1" t="s">
        <v>16</v>
      </c>
      <c r="C253" s="1" t="s">
        <v>225</v>
      </c>
      <c r="D253" s="2" t="s">
        <v>751</v>
      </c>
      <c r="E253" s="1" t="s">
        <v>752</v>
      </c>
      <c r="F253" s="1" t="s">
        <v>20</v>
      </c>
      <c r="G253" s="1" t="s">
        <v>44</v>
      </c>
      <c r="H253" s="1" t="s">
        <v>753</v>
      </c>
      <c r="I253" s="1" t="s">
        <v>16</v>
      </c>
      <c r="J253" s="1" t="s">
        <v>16</v>
      </c>
      <c r="K253" s="4" t="s">
        <v>16</v>
      </c>
      <c r="L253" s="1" t="s">
        <v>23</v>
      </c>
      <c r="M253" s="1" t="s">
        <v>754</v>
      </c>
      <c r="N253" s="7" t="str">
        <f>IFERROR(VLOOKUP(#REF!,'2. Buzzi Admin Only'!N:O,2,0),"")</f>
        <v/>
      </c>
      <c r="O253" s="6" t="str">
        <f>IFERROR(VLOOKUP(K253,'2. Buzzi Admin Only'!Q:R,2,0),"")</f>
        <v/>
      </c>
    </row>
    <row r="254" spans="1:15" ht="15.75" customHeight="1" x14ac:dyDescent="0.25">
      <c r="A254" s="1" t="s">
        <v>755</v>
      </c>
      <c r="B254" s="1" t="s">
        <v>38</v>
      </c>
      <c r="C254" s="1" t="s">
        <v>60</v>
      </c>
      <c r="D254" s="2" t="s">
        <v>756</v>
      </c>
      <c r="E254" s="1" t="s">
        <v>757</v>
      </c>
      <c r="F254" s="1" t="s">
        <v>20</v>
      </c>
      <c r="G254" s="1" t="s">
        <v>28</v>
      </c>
      <c r="H254" s="1" t="s">
        <v>16</v>
      </c>
      <c r="I254" s="1" t="s">
        <v>16</v>
      </c>
      <c r="J254" s="1" t="s">
        <v>16</v>
      </c>
      <c r="K254" s="4" t="s">
        <v>16</v>
      </c>
      <c r="L254" s="1" t="s">
        <v>23</v>
      </c>
      <c r="M254" s="1" t="s">
        <v>758</v>
      </c>
      <c r="N254" s="7" t="str">
        <f>IFERROR(VLOOKUP(#REF!,'2. Buzzi Admin Only'!N:O,2,0),"")</f>
        <v/>
      </c>
      <c r="O254" s="6" t="str">
        <f>IFERROR(VLOOKUP(K254,'2. Buzzi Admin Only'!Q:R,2,0),"")</f>
        <v/>
      </c>
    </row>
    <row r="255" spans="1:15" ht="15.75" customHeight="1" x14ac:dyDescent="0.25">
      <c r="A255" s="1" t="s">
        <v>759</v>
      </c>
      <c r="B255" s="1" t="s">
        <v>16</v>
      </c>
      <c r="C255" s="1" t="s">
        <v>145</v>
      </c>
      <c r="D255" s="2" t="s">
        <v>760</v>
      </c>
      <c r="E255" s="1" t="s">
        <v>761</v>
      </c>
      <c r="F255" s="1" t="s">
        <v>20</v>
      </c>
      <c r="G255" s="1" t="s">
        <v>28</v>
      </c>
      <c r="H255" s="1" t="s">
        <v>762</v>
      </c>
      <c r="I255" s="1" t="s">
        <v>16</v>
      </c>
      <c r="J255" s="1" t="s">
        <v>16</v>
      </c>
      <c r="K255" s="4" t="s">
        <v>16</v>
      </c>
      <c r="L255" s="1" t="s">
        <v>23</v>
      </c>
      <c r="M255" s="1" t="s">
        <v>763</v>
      </c>
      <c r="N255" s="7" t="str">
        <f>IFERROR(VLOOKUP(#REF!,'2. Buzzi Admin Only'!N:O,2,0),"")</f>
        <v/>
      </c>
      <c r="O255" s="6" t="str">
        <f>IFERROR(VLOOKUP(K255,'2. Buzzi Admin Only'!Q:R,2,0),"")</f>
        <v/>
      </c>
    </row>
    <row r="256" spans="1:15" ht="15.75" customHeight="1" x14ac:dyDescent="0.25">
      <c r="A256" s="1" t="s">
        <v>764</v>
      </c>
      <c r="B256" s="1" t="s">
        <v>158</v>
      </c>
      <c r="C256" s="1" t="s">
        <v>765</v>
      </c>
      <c r="D256" s="2" t="s">
        <v>766</v>
      </c>
      <c r="E256" s="1" t="s">
        <v>767</v>
      </c>
      <c r="F256" s="1" t="s">
        <v>20</v>
      </c>
      <c r="G256" s="1" t="s">
        <v>28</v>
      </c>
      <c r="H256" s="1" t="s">
        <v>16</v>
      </c>
      <c r="I256" s="1" t="s">
        <v>16</v>
      </c>
      <c r="J256" s="1" t="s">
        <v>16</v>
      </c>
      <c r="K256" s="4" t="s">
        <v>16</v>
      </c>
      <c r="L256" s="1" t="s">
        <v>23</v>
      </c>
      <c r="M256" s="1" t="s">
        <v>58</v>
      </c>
      <c r="N256" s="7" t="str">
        <f>IFERROR(VLOOKUP(#REF!,'2. Buzzi Admin Only'!N:O,2,0),"")</f>
        <v/>
      </c>
      <c r="O256" s="6" t="str">
        <f>IFERROR(VLOOKUP(K256,'2. Buzzi Admin Only'!Q:R,2,0),"")</f>
        <v/>
      </c>
    </row>
    <row r="257" spans="1:15" ht="15.75" customHeight="1" x14ac:dyDescent="0.25">
      <c r="A257" s="1" t="s">
        <v>768</v>
      </c>
      <c r="B257" s="1" t="s">
        <v>158</v>
      </c>
      <c r="C257" s="1" t="s">
        <v>402</v>
      </c>
      <c r="D257" s="2" t="s">
        <v>229</v>
      </c>
      <c r="E257" s="1" t="s">
        <v>769</v>
      </c>
      <c r="F257" s="1" t="s">
        <v>20</v>
      </c>
      <c r="G257" s="1" t="s">
        <v>28</v>
      </c>
      <c r="H257" s="1" t="s">
        <v>16</v>
      </c>
      <c r="I257" s="1" t="s">
        <v>16</v>
      </c>
      <c r="J257" s="1" t="s">
        <v>16</v>
      </c>
      <c r="K257" s="4" t="s">
        <v>16</v>
      </c>
      <c r="L257" s="1" t="s">
        <v>23</v>
      </c>
      <c r="M257" s="1" t="s">
        <v>770</v>
      </c>
      <c r="N257" s="7" t="str">
        <f>IFERROR(VLOOKUP(#REF!,'2. Buzzi Admin Only'!N:O,2,0),"")</f>
        <v/>
      </c>
      <c r="O257" s="6" t="str">
        <f>IFERROR(VLOOKUP(K257,'2. Buzzi Admin Only'!Q:R,2,0),"")</f>
        <v/>
      </c>
    </row>
    <row r="258" spans="1:15" ht="15.75" customHeight="1" x14ac:dyDescent="0.25">
      <c r="A258" s="1" t="s">
        <v>771</v>
      </c>
      <c r="B258" s="1" t="s">
        <v>16</v>
      </c>
      <c r="C258" s="1" t="s">
        <v>16</v>
      </c>
      <c r="D258" s="2" t="s">
        <v>16</v>
      </c>
      <c r="E258" s="1" t="s">
        <v>16</v>
      </c>
      <c r="F258" s="1" t="s">
        <v>20</v>
      </c>
      <c r="G258" s="1" t="s">
        <v>28</v>
      </c>
      <c r="H258" s="1" t="s">
        <v>16</v>
      </c>
      <c r="I258" s="1" t="s">
        <v>16</v>
      </c>
      <c r="J258" s="1" t="s">
        <v>16</v>
      </c>
      <c r="K258" s="4" t="s">
        <v>16</v>
      </c>
      <c r="L258" s="1" t="s">
        <v>23</v>
      </c>
      <c r="M258" s="1" t="s">
        <v>16</v>
      </c>
      <c r="N258" s="7" t="str">
        <f>IFERROR(VLOOKUP(#REF!,'2. Buzzi Admin Only'!N:O,2,0),"")</f>
        <v/>
      </c>
      <c r="O258" s="6" t="str">
        <f>IFERROR(VLOOKUP(K258,'2. Buzzi Admin Only'!Q:R,2,0),"")</f>
        <v/>
      </c>
    </row>
    <row r="259" spans="1:15" ht="15.75" customHeight="1" x14ac:dyDescent="0.25">
      <c r="A259" s="1" t="s">
        <v>772</v>
      </c>
      <c r="B259" s="1" t="s">
        <v>138</v>
      </c>
      <c r="C259" s="1" t="s">
        <v>16</v>
      </c>
      <c r="D259" s="2" t="s">
        <v>773</v>
      </c>
      <c r="E259" s="1" t="s">
        <v>774</v>
      </c>
      <c r="F259" s="1" t="s">
        <v>20</v>
      </c>
      <c r="G259" s="1" t="s">
        <v>21</v>
      </c>
      <c r="H259" s="1" t="s">
        <v>775</v>
      </c>
      <c r="I259" s="1" t="s">
        <v>16</v>
      </c>
      <c r="J259" s="1" t="s">
        <v>16</v>
      </c>
      <c r="K259" s="4" t="s">
        <v>16</v>
      </c>
      <c r="L259" s="1" t="s">
        <v>23</v>
      </c>
      <c r="M259" s="1" t="s">
        <v>42</v>
      </c>
      <c r="N259" s="7" t="str">
        <f>IFERROR(VLOOKUP(#REF!,'2. Buzzi Admin Only'!N:O,2,0),"")</f>
        <v/>
      </c>
      <c r="O259" s="6" t="str">
        <f>IFERROR(VLOOKUP(K259,'2. Buzzi Admin Only'!Q:R,2,0),"")</f>
        <v/>
      </c>
    </row>
    <row r="260" spans="1:15" ht="15.75" customHeight="1" x14ac:dyDescent="0.25">
      <c r="A260" s="1" t="s">
        <v>776</v>
      </c>
      <c r="B260" s="1" t="s">
        <v>38</v>
      </c>
      <c r="C260" s="1" t="s">
        <v>16</v>
      </c>
      <c r="D260" s="2" t="s">
        <v>777</v>
      </c>
      <c r="E260" s="1" t="s">
        <v>778</v>
      </c>
      <c r="F260" s="1" t="s">
        <v>20</v>
      </c>
      <c r="G260" s="1" t="s">
        <v>21</v>
      </c>
      <c r="H260" s="1" t="s">
        <v>779</v>
      </c>
      <c r="I260" s="1" t="s">
        <v>16</v>
      </c>
      <c r="J260" s="1" t="s">
        <v>57</v>
      </c>
      <c r="K260" s="4" t="s">
        <v>16</v>
      </c>
      <c r="L260" s="1" t="s">
        <v>23</v>
      </c>
      <c r="M260" s="1" t="s">
        <v>58</v>
      </c>
      <c r="N260" s="7" t="str">
        <f>IFERROR(VLOOKUP(#REF!,'2. Buzzi Admin Only'!N:O,2,0),"")</f>
        <v/>
      </c>
      <c r="O260" s="6" t="str">
        <f>IFERROR(VLOOKUP(K260,'2. Buzzi Admin Only'!Q:R,2,0),"")</f>
        <v/>
      </c>
    </row>
    <row r="261" spans="1:15" ht="15.75" customHeight="1" x14ac:dyDescent="0.25">
      <c r="A261" s="1" t="s">
        <v>780</v>
      </c>
      <c r="B261" s="1" t="s">
        <v>16</v>
      </c>
      <c r="C261" s="1" t="s">
        <v>16</v>
      </c>
      <c r="D261" s="2" t="s">
        <v>781</v>
      </c>
      <c r="E261" s="1" t="s">
        <v>782</v>
      </c>
      <c r="F261" s="1" t="s">
        <v>529</v>
      </c>
      <c r="G261" s="1" t="s">
        <v>44</v>
      </c>
      <c r="H261" s="1" t="s">
        <v>16</v>
      </c>
      <c r="I261" s="1" t="s">
        <v>16</v>
      </c>
      <c r="J261" s="1" t="s">
        <v>16</v>
      </c>
      <c r="K261" s="4" t="s">
        <v>16</v>
      </c>
      <c r="L261" s="1" t="s">
        <v>23</v>
      </c>
      <c r="M261" s="1" t="s">
        <v>16</v>
      </c>
      <c r="N261" s="7" t="str">
        <f>IFERROR(VLOOKUP(#REF!,'2. Buzzi Admin Only'!N:O,2,0),"")</f>
        <v/>
      </c>
      <c r="O261" s="6" t="str">
        <f>IFERROR(VLOOKUP(K261,'2. Buzzi Admin Only'!Q:R,2,0),"")</f>
        <v/>
      </c>
    </row>
    <row r="262" spans="1:15" ht="15.75" customHeight="1" x14ac:dyDescent="0.25">
      <c r="A262" s="1" t="s">
        <v>783</v>
      </c>
      <c r="B262" s="1" t="s">
        <v>16</v>
      </c>
      <c r="C262" s="1" t="s">
        <v>16</v>
      </c>
      <c r="D262" s="2" t="s">
        <v>16</v>
      </c>
      <c r="E262" s="1" t="s">
        <v>784</v>
      </c>
      <c r="F262" s="1" t="s">
        <v>20</v>
      </c>
      <c r="G262" s="1" t="s">
        <v>21</v>
      </c>
      <c r="H262" s="1" t="s">
        <v>785</v>
      </c>
      <c r="I262" s="1" t="s">
        <v>16</v>
      </c>
      <c r="J262" s="1" t="s">
        <v>57</v>
      </c>
      <c r="K262" s="4" t="s">
        <v>16</v>
      </c>
      <c r="L262" s="1" t="s">
        <v>23</v>
      </c>
      <c r="M262" s="1" t="s">
        <v>786</v>
      </c>
      <c r="N262" s="7" t="str">
        <f>IFERROR(VLOOKUP(#REF!,'2. Buzzi Admin Only'!N:O,2,0),"")</f>
        <v/>
      </c>
      <c r="O262" s="6" t="str">
        <f>IFERROR(VLOOKUP(K262,'2. Buzzi Admin Only'!Q:R,2,0),"")</f>
        <v/>
      </c>
    </row>
    <row r="263" spans="1:15" ht="15.75" customHeight="1" x14ac:dyDescent="0.25">
      <c r="A263" s="1" t="s">
        <v>787</v>
      </c>
      <c r="B263" s="1" t="s">
        <v>138</v>
      </c>
      <c r="C263" s="1" t="s">
        <v>16</v>
      </c>
      <c r="D263" s="2" t="s">
        <v>788</v>
      </c>
      <c r="E263" s="1" t="s">
        <v>308</v>
      </c>
      <c r="F263" s="1" t="s">
        <v>20</v>
      </c>
      <c r="G263" s="1" t="s">
        <v>44</v>
      </c>
      <c r="H263" s="1" t="s">
        <v>789</v>
      </c>
      <c r="I263" s="1" t="s">
        <v>16</v>
      </c>
      <c r="J263" s="1" t="s">
        <v>16</v>
      </c>
      <c r="K263" s="4" t="s">
        <v>16</v>
      </c>
      <c r="L263" s="1" t="s">
        <v>23</v>
      </c>
      <c r="M263" s="1" t="s">
        <v>42</v>
      </c>
      <c r="N263" s="7" t="str">
        <f>IFERROR(VLOOKUP(#REF!,'2. Buzzi Admin Only'!N:O,2,0),"")</f>
        <v/>
      </c>
      <c r="O263" s="6" t="str">
        <f>IFERROR(VLOOKUP(K263,'2. Buzzi Admin Only'!Q:R,2,0),"")</f>
        <v/>
      </c>
    </row>
    <row r="264" spans="1:15" ht="15.75" customHeight="1" x14ac:dyDescent="0.25">
      <c r="A264" s="1" t="s">
        <v>790</v>
      </c>
      <c r="B264" s="1" t="s">
        <v>38</v>
      </c>
      <c r="C264" s="1" t="s">
        <v>16</v>
      </c>
      <c r="D264" s="2" t="s">
        <v>777</v>
      </c>
      <c r="E264" s="1" t="s">
        <v>791</v>
      </c>
      <c r="F264" s="1" t="s">
        <v>20</v>
      </c>
      <c r="G264" s="1" t="s">
        <v>28</v>
      </c>
      <c r="H264" s="1" t="s">
        <v>792</v>
      </c>
      <c r="I264" s="1" t="s">
        <v>16</v>
      </c>
      <c r="J264" s="1" t="s">
        <v>57</v>
      </c>
      <c r="K264" s="4" t="s">
        <v>16</v>
      </c>
      <c r="L264" s="1" t="s">
        <v>23</v>
      </c>
      <c r="M264" s="1" t="s">
        <v>58</v>
      </c>
      <c r="N264" s="7" t="str">
        <f>IFERROR(VLOOKUP(#REF!,'2. Buzzi Admin Only'!N:O,2,0),"")</f>
        <v/>
      </c>
      <c r="O264" s="6" t="str">
        <f>IFERROR(VLOOKUP(K264,'2. Buzzi Admin Only'!Q:R,2,0),"")</f>
        <v/>
      </c>
    </row>
    <row r="265" spans="1:15" ht="15.75" customHeight="1" x14ac:dyDescent="0.25">
      <c r="A265" s="1" t="s">
        <v>793</v>
      </c>
      <c r="B265" s="1" t="s">
        <v>138</v>
      </c>
      <c r="C265" s="1" t="s">
        <v>60</v>
      </c>
      <c r="D265" s="2" t="s">
        <v>794</v>
      </c>
      <c r="E265" s="1" t="s">
        <v>795</v>
      </c>
      <c r="F265" s="1" t="s">
        <v>20</v>
      </c>
      <c r="G265" s="1" t="s">
        <v>21</v>
      </c>
      <c r="H265" s="1" t="s">
        <v>16</v>
      </c>
      <c r="I265" s="1" t="s">
        <v>16</v>
      </c>
      <c r="J265" s="1" t="s">
        <v>16</v>
      </c>
      <c r="K265" s="4" t="s">
        <v>16</v>
      </c>
      <c r="L265" s="1" t="s">
        <v>23</v>
      </c>
      <c r="M265" s="1" t="s">
        <v>796</v>
      </c>
      <c r="N265" s="7" t="str">
        <f>IFERROR(VLOOKUP(#REF!,'2. Buzzi Admin Only'!N:O,2,0),"")</f>
        <v/>
      </c>
      <c r="O265" s="6" t="str">
        <f>IFERROR(VLOOKUP(K265,'2. Buzzi Admin Only'!Q:R,2,0),"")</f>
        <v/>
      </c>
    </row>
    <row r="266" spans="1:15" ht="15.75" customHeight="1" x14ac:dyDescent="0.25">
      <c r="A266" s="1" t="s">
        <v>797</v>
      </c>
      <c r="B266" s="1" t="s">
        <v>16</v>
      </c>
      <c r="C266" s="1" t="s">
        <v>16</v>
      </c>
      <c r="D266" s="2" t="s">
        <v>16</v>
      </c>
      <c r="E266" s="1" t="s">
        <v>40</v>
      </c>
      <c r="F266" s="1" t="s">
        <v>20</v>
      </c>
      <c r="G266" s="1" t="s">
        <v>70</v>
      </c>
      <c r="H266" s="1" t="s">
        <v>16</v>
      </c>
      <c r="I266" s="1" t="s">
        <v>16</v>
      </c>
      <c r="J266" s="1" t="s">
        <v>16</v>
      </c>
      <c r="K266" s="4" t="s">
        <v>16</v>
      </c>
      <c r="L266" s="1" t="s">
        <v>71</v>
      </c>
      <c r="M266" s="1" t="s">
        <v>16</v>
      </c>
      <c r="N266" s="7" t="str">
        <f>IFERROR(VLOOKUP(#REF!,'2. Buzzi Admin Only'!N:O,2,0),"")</f>
        <v/>
      </c>
      <c r="O266" s="6" t="str">
        <f>IFERROR(VLOOKUP(K266,'2. Buzzi Admin Only'!Q:R,2,0),"")</f>
        <v/>
      </c>
    </row>
    <row r="267" spans="1:15" ht="15.75" customHeight="1" x14ac:dyDescent="0.25">
      <c r="A267" s="1" t="s">
        <v>798</v>
      </c>
      <c r="B267" s="1" t="s">
        <v>16</v>
      </c>
      <c r="C267" s="1" t="s">
        <v>765</v>
      </c>
      <c r="D267" s="2" t="s">
        <v>799</v>
      </c>
      <c r="E267" s="1" t="s">
        <v>19</v>
      </c>
      <c r="F267" s="1" t="s">
        <v>141</v>
      </c>
      <c r="G267" s="1" t="s">
        <v>142</v>
      </c>
      <c r="H267" s="1" t="s">
        <v>800</v>
      </c>
      <c r="I267" s="1" t="s">
        <v>16</v>
      </c>
      <c r="J267" s="1" t="s">
        <v>16</v>
      </c>
      <c r="K267" s="4" t="s">
        <v>16</v>
      </c>
      <c r="L267" s="1" t="s">
        <v>23</v>
      </c>
      <c r="M267" s="1" t="s">
        <v>58</v>
      </c>
      <c r="N267" s="7" t="str">
        <f>IFERROR(VLOOKUP(#REF!,'2. Buzzi Admin Only'!N:O,2,0),"")</f>
        <v/>
      </c>
      <c r="O267" s="6" t="str">
        <f>IFERROR(VLOOKUP(K267,'2. Buzzi Admin Only'!Q:R,2,0),"")</f>
        <v/>
      </c>
    </row>
    <row r="268" spans="1:15" ht="15.75" customHeight="1" x14ac:dyDescent="0.25">
      <c r="A268" s="1" t="s">
        <v>801</v>
      </c>
      <c r="B268" s="1" t="s">
        <v>16</v>
      </c>
      <c r="C268" s="1" t="s">
        <v>16</v>
      </c>
      <c r="D268" s="2" t="s">
        <v>16</v>
      </c>
      <c r="E268" s="1" t="s">
        <v>40</v>
      </c>
      <c r="F268" s="1" t="s">
        <v>20</v>
      </c>
      <c r="G268" s="1" t="s">
        <v>28</v>
      </c>
      <c r="H268" s="1" t="s">
        <v>16</v>
      </c>
      <c r="I268" s="1" t="s">
        <v>16</v>
      </c>
      <c r="J268" s="1" t="s">
        <v>16</v>
      </c>
      <c r="K268" s="4" t="s">
        <v>16</v>
      </c>
      <c r="L268" s="1" t="s">
        <v>71</v>
      </c>
      <c r="M268" s="1" t="s">
        <v>16</v>
      </c>
      <c r="N268" s="7" t="str">
        <f>IFERROR(VLOOKUP(#REF!,'2. Buzzi Admin Only'!N:O,2,0),"")</f>
        <v/>
      </c>
      <c r="O268" s="6" t="str">
        <f>IFERROR(VLOOKUP(K268,'2. Buzzi Admin Only'!Q:R,2,0),"")</f>
        <v/>
      </c>
    </row>
    <row r="269" spans="1:15" ht="15.75" customHeight="1" x14ac:dyDescent="0.25">
      <c r="A269" s="1" t="s">
        <v>802</v>
      </c>
      <c r="B269" s="1" t="s">
        <v>16</v>
      </c>
      <c r="C269" s="1" t="s">
        <v>16</v>
      </c>
      <c r="D269" s="2" t="s">
        <v>16</v>
      </c>
      <c r="E269" s="1" t="s">
        <v>803</v>
      </c>
      <c r="F269" s="1" t="s">
        <v>20</v>
      </c>
      <c r="G269" s="1" t="s">
        <v>44</v>
      </c>
      <c r="H269" s="1" t="s">
        <v>804</v>
      </c>
      <c r="I269" s="1" t="s">
        <v>16</v>
      </c>
      <c r="J269" s="1" t="s">
        <v>16</v>
      </c>
      <c r="K269" s="4" t="s">
        <v>16</v>
      </c>
      <c r="L269" s="1" t="s">
        <v>23</v>
      </c>
      <c r="M269" s="1" t="s">
        <v>52</v>
      </c>
      <c r="N269" s="7" t="str">
        <f>IFERROR(VLOOKUP(#REF!,'2. Buzzi Admin Only'!N:O,2,0),"")</f>
        <v/>
      </c>
      <c r="O269" s="6" t="str">
        <f>IFERROR(VLOOKUP(K269,'2. Buzzi Admin Only'!Q:R,2,0),"")</f>
        <v/>
      </c>
    </row>
    <row r="270" spans="1:15" ht="15.75" customHeight="1" x14ac:dyDescent="0.25">
      <c r="A270" s="1" t="s">
        <v>805</v>
      </c>
      <c r="B270" s="1" t="s">
        <v>16</v>
      </c>
      <c r="C270" s="1" t="s">
        <v>16</v>
      </c>
      <c r="D270" s="2" t="s">
        <v>16</v>
      </c>
      <c r="E270" s="1" t="s">
        <v>40</v>
      </c>
      <c r="F270" s="1" t="s">
        <v>20</v>
      </c>
      <c r="G270" s="1" t="s">
        <v>28</v>
      </c>
      <c r="H270" s="1" t="s">
        <v>16</v>
      </c>
      <c r="I270" s="1" t="s">
        <v>16</v>
      </c>
      <c r="J270" s="1" t="s">
        <v>16</v>
      </c>
      <c r="K270" s="4" t="s">
        <v>16</v>
      </c>
      <c r="L270" s="1" t="s">
        <v>71</v>
      </c>
      <c r="M270" s="1" t="s">
        <v>16</v>
      </c>
      <c r="N270" s="7" t="str">
        <f>IFERROR(VLOOKUP(#REF!,'2. Buzzi Admin Only'!N:O,2,0),"")</f>
        <v/>
      </c>
      <c r="O270" s="6" t="str">
        <f>IFERROR(VLOOKUP(K270,'2. Buzzi Admin Only'!Q:R,2,0),"")</f>
        <v/>
      </c>
    </row>
    <row r="271" spans="1:15" ht="15.75" customHeight="1" x14ac:dyDescent="0.25">
      <c r="A271" s="1" t="s">
        <v>806</v>
      </c>
      <c r="B271" s="1" t="s">
        <v>16</v>
      </c>
      <c r="C271" s="1" t="s">
        <v>16</v>
      </c>
      <c r="D271" s="2" t="s">
        <v>807</v>
      </c>
      <c r="E271" s="1" t="s">
        <v>40</v>
      </c>
      <c r="F271" s="1" t="s">
        <v>20</v>
      </c>
      <c r="G271" s="1" t="s">
        <v>28</v>
      </c>
      <c r="H271" s="1" t="s">
        <v>808</v>
      </c>
      <c r="I271" s="1" t="s">
        <v>16</v>
      </c>
      <c r="J271" s="1" t="s">
        <v>16</v>
      </c>
      <c r="K271" s="4" t="s">
        <v>16</v>
      </c>
      <c r="L271" s="1" t="s">
        <v>23</v>
      </c>
      <c r="M271" s="1" t="s">
        <v>58</v>
      </c>
      <c r="N271" s="7" t="str">
        <f>IFERROR(VLOOKUP(#REF!,'2. Buzzi Admin Only'!N:O,2,0),"")</f>
        <v/>
      </c>
      <c r="O271" s="6" t="str">
        <f>IFERROR(VLOOKUP(K271,'2. Buzzi Admin Only'!Q:R,2,0),"")</f>
        <v/>
      </c>
    </row>
    <row r="272" spans="1:15" ht="15.75" customHeight="1" x14ac:dyDescent="0.25">
      <c r="A272" s="1" t="s">
        <v>809</v>
      </c>
      <c r="B272" s="1" t="s">
        <v>138</v>
      </c>
      <c r="C272" s="1" t="s">
        <v>16</v>
      </c>
      <c r="D272" s="2" t="s">
        <v>810</v>
      </c>
      <c r="E272" s="1" t="s">
        <v>811</v>
      </c>
      <c r="F272" s="1" t="s">
        <v>20</v>
      </c>
      <c r="G272" s="1" t="s">
        <v>28</v>
      </c>
      <c r="H272" s="1" t="s">
        <v>812</v>
      </c>
      <c r="I272" s="1" t="s">
        <v>16</v>
      </c>
      <c r="J272" s="1" t="s">
        <v>57</v>
      </c>
      <c r="K272" s="4" t="s">
        <v>16</v>
      </c>
      <c r="L272" s="1" t="s">
        <v>23</v>
      </c>
      <c r="M272" s="1" t="s">
        <v>813</v>
      </c>
      <c r="N272" s="7" t="str">
        <f>IFERROR(VLOOKUP(#REF!,'2. Buzzi Admin Only'!N:O,2,0),"")</f>
        <v/>
      </c>
      <c r="O272" s="6" t="str">
        <f>IFERROR(VLOOKUP(K272,'2. Buzzi Admin Only'!Q:R,2,0),"")</f>
        <v/>
      </c>
    </row>
    <row r="273" spans="1:15" ht="15.75" customHeight="1" x14ac:dyDescent="0.25">
      <c r="A273" s="1" t="s">
        <v>814</v>
      </c>
      <c r="B273" s="1" t="s">
        <v>16</v>
      </c>
      <c r="C273" s="1" t="s">
        <v>16</v>
      </c>
      <c r="D273" s="2" t="s">
        <v>756</v>
      </c>
      <c r="E273" s="1" t="s">
        <v>40</v>
      </c>
      <c r="F273" s="1" t="s">
        <v>20</v>
      </c>
      <c r="G273" s="1" t="s">
        <v>70</v>
      </c>
      <c r="H273" s="1" t="s">
        <v>815</v>
      </c>
      <c r="I273" s="1" t="s">
        <v>16</v>
      </c>
      <c r="J273" s="1" t="s">
        <v>16</v>
      </c>
      <c r="K273" s="4" t="s">
        <v>16</v>
      </c>
      <c r="L273" s="1" t="s">
        <v>23</v>
      </c>
      <c r="M273" s="1" t="s">
        <v>68</v>
      </c>
      <c r="N273" s="7" t="str">
        <f>IFERROR(VLOOKUP(#REF!,'2. Buzzi Admin Only'!N:O,2,0),"")</f>
        <v/>
      </c>
      <c r="O273" s="6" t="str">
        <f>IFERROR(VLOOKUP(K273,'2. Buzzi Admin Only'!Q:R,2,0),"")</f>
        <v/>
      </c>
    </row>
    <row r="274" spans="1:15" ht="15.75" customHeight="1" x14ac:dyDescent="0.25">
      <c r="A274" s="1" t="s">
        <v>816</v>
      </c>
      <c r="B274" s="1" t="s">
        <v>138</v>
      </c>
      <c r="C274" s="1" t="s">
        <v>60</v>
      </c>
      <c r="D274" s="2" t="s">
        <v>817</v>
      </c>
      <c r="E274" s="1" t="s">
        <v>818</v>
      </c>
      <c r="F274" s="1" t="s">
        <v>20</v>
      </c>
      <c r="G274" s="1" t="s">
        <v>44</v>
      </c>
      <c r="H274" s="1" t="s">
        <v>16</v>
      </c>
      <c r="I274" s="1" t="s">
        <v>16</v>
      </c>
      <c r="J274" s="1" t="s">
        <v>16</v>
      </c>
      <c r="K274" s="4">
        <v>800</v>
      </c>
      <c r="L274" s="1" t="s">
        <v>23</v>
      </c>
      <c r="M274" s="1" t="s">
        <v>58</v>
      </c>
      <c r="N274" s="7" t="str">
        <f>IFERROR(VLOOKUP(#REF!,'2. Buzzi Admin Only'!N:O,2,0),"")</f>
        <v/>
      </c>
      <c r="O274" s="6" t="str">
        <f>IFERROR(VLOOKUP(K274,'2. Buzzi Admin Only'!Q:R,2,0),"")</f>
        <v>Dock Operations</v>
      </c>
    </row>
    <row r="275" spans="1:15" ht="15.75" customHeight="1" x14ac:dyDescent="0.25">
      <c r="A275" s="1" t="s">
        <v>819</v>
      </c>
      <c r="B275" s="1" t="s">
        <v>138</v>
      </c>
      <c r="C275" s="1" t="s">
        <v>16</v>
      </c>
      <c r="D275" s="2" t="s">
        <v>820</v>
      </c>
      <c r="E275" s="1" t="s">
        <v>821</v>
      </c>
      <c r="F275" s="1" t="s">
        <v>20</v>
      </c>
      <c r="G275" s="1" t="s">
        <v>225</v>
      </c>
      <c r="H275" s="1" t="s">
        <v>822</v>
      </c>
      <c r="I275" s="1" t="s">
        <v>16</v>
      </c>
      <c r="J275" s="1" t="s">
        <v>16</v>
      </c>
      <c r="K275" s="4" t="s">
        <v>16</v>
      </c>
      <c r="L275" s="1" t="s">
        <v>23</v>
      </c>
      <c r="M275" s="1" t="s">
        <v>786</v>
      </c>
      <c r="N275" s="7" t="str">
        <f>IFERROR(VLOOKUP(#REF!,'2. Buzzi Admin Only'!N:O,2,0),"")</f>
        <v/>
      </c>
      <c r="O275" s="6" t="str">
        <f>IFERROR(VLOOKUP(K275,'2. Buzzi Admin Only'!Q:R,2,0),"")</f>
        <v/>
      </c>
    </row>
    <row r="276" spans="1:15" ht="15.75" customHeight="1" x14ac:dyDescent="0.25">
      <c r="A276" s="1" t="s">
        <v>823</v>
      </c>
      <c r="B276" s="1" t="s">
        <v>138</v>
      </c>
      <c r="C276" s="1" t="s">
        <v>16</v>
      </c>
      <c r="D276" s="2" t="s">
        <v>824</v>
      </c>
      <c r="E276" s="1" t="s">
        <v>40</v>
      </c>
      <c r="F276" s="1" t="s">
        <v>20</v>
      </c>
      <c r="G276" s="1" t="s">
        <v>21</v>
      </c>
      <c r="H276" s="1" t="s">
        <v>825</v>
      </c>
      <c r="I276" s="1" t="s">
        <v>16</v>
      </c>
      <c r="J276" s="1" t="s">
        <v>16</v>
      </c>
      <c r="K276" s="4" t="s">
        <v>16</v>
      </c>
      <c r="L276" s="1" t="s">
        <v>23</v>
      </c>
      <c r="M276" s="1" t="s">
        <v>42</v>
      </c>
      <c r="N276" s="7" t="str">
        <f>IFERROR(VLOOKUP(#REF!,'2. Buzzi Admin Only'!N:O,2,0),"")</f>
        <v/>
      </c>
      <c r="O276" s="6" t="str">
        <f>IFERROR(VLOOKUP(K276,'2. Buzzi Admin Only'!Q:R,2,0),"")</f>
        <v/>
      </c>
    </row>
    <row r="277" spans="1:15" ht="15.75" customHeight="1" x14ac:dyDescent="0.25">
      <c r="A277" s="1" t="s">
        <v>826</v>
      </c>
      <c r="B277" s="1" t="s">
        <v>16</v>
      </c>
      <c r="C277" s="1" t="s">
        <v>60</v>
      </c>
      <c r="D277" s="2" t="s">
        <v>827</v>
      </c>
      <c r="E277" s="1" t="s">
        <v>828</v>
      </c>
      <c r="F277" s="1" t="s">
        <v>20</v>
      </c>
      <c r="G277" s="1" t="s">
        <v>21</v>
      </c>
      <c r="H277" s="1" t="s">
        <v>16</v>
      </c>
      <c r="I277" s="1" t="s">
        <v>16</v>
      </c>
      <c r="J277" s="1" t="s">
        <v>16</v>
      </c>
      <c r="K277" s="4" t="s">
        <v>16</v>
      </c>
      <c r="L277" s="1" t="s">
        <v>23</v>
      </c>
      <c r="M277" s="1" t="s">
        <v>58</v>
      </c>
      <c r="N277" s="7" t="str">
        <f>IFERROR(VLOOKUP(#REF!,'2. Buzzi Admin Only'!N:O,2,0),"")</f>
        <v/>
      </c>
      <c r="O277" s="6" t="str">
        <f>IFERROR(VLOOKUP(K277,'2. Buzzi Admin Only'!Q:R,2,0),"")</f>
        <v/>
      </c>
    </row>
    <row r="278" spans="1:15" ht="15.75" customHeight="1" x14ac:dyDescent="0.25">
      <c r="A278" s="1" t="s">
        <v>829</v>
      </c>
      <c r="B278" s="1" t="s">
        <v>38</v>
      </c>
      <c r="C278" s="1" t="s">
        <v>16</v>
      </c>
      <c r="D278" s="2" t="s">
        <v>830</v>
      </c>
      <c r="E278" s="1" t="s">
        <v>831</v>
      </c>
      <c r="F278" s="1" t="s">
        <v>20</v>
      </c>
      <c r="G278" s="1" t="s">
        <v>28</v>
      </c>
      <c r="H278" s="1" t="s">
        <v>832</v>
      </c>
      <c r="I278" s="1" t="s">
        <v>16</v>
      </c>
      <c r="J278" s="1" t="s">
        <v>16</v>
      </c>
      <c r="K278" s="4" t="s">
        <v>16</v>
      </c>
      <c r="L278" s="1" t="s">
        <v>23</v>
      </c>
      <c r="M278" s="1" t="s">
        <v>833</v>
      </c>
      <c r="N278" s="7" t="str">
        <f>IFERROR(VLOOKUP(#REF!,'2. Buzzi Admin Only'!N:O,2,0),"")</f>
        <v/>
      </c>
      <c r="O278" s="6" t="str">
        <f>IFERROR(VLOOKUP(K278,'2. Buzzi Admin Only'!Q:R,2,0),"")</f>
        <v/>
      </c>
    </row>
    <row r="279" spans="1:15" ht="15.75" customHeight="1" x14ac:dyDescent="0.25">
      <c r="A279" s="1" t="s">
        <v>834</v>
      </c>
      <c r="B279" s="1" t="s">
        <v>16</v>
      </c>
      <c r="C279" s="1" t="s">
        <v>16</v>
      </c>
      <c r="D279" s="2" t="s">
        <v>835</v>
      </c>
      <c r="E279" s="1" t="s">
        <v>836</v>
      </c>
      <c r="F279" s="1" t="s">
        <v>20</v>
      </c>
      <c r="G279" s="1" t="s">
        <v>21</v>
      </c>
      <c r="H279" s="1" t="s">
        <v>837</v>
      </c>
      <c r="I279" s="1" t="s">
        <v>16</v>
      </c>
      <c r="J279" s="1" t="s">
        <v>16</v>
      </c>
      <c r="K279" s="4" t="s">
        <v>16</v>
      </c>
      <c r="L279" s="1" t="s">
        <v>23</v>
      </c>
      <c r="M279" s="1" t="s">
        <v>52</v>
      </c>
      <c r="N279" s="7" t="str">
        <f>IFERROR(VLOOKUP(#REF!,'2. Buzzi Admin Only'!N:O,2,0),"")</f>
        <v/>
      </c>
      <c r="O279" s="6" t="str">
        <f>IFERROR(VLOOKUP(K279,'2. Buzzi Admin Only'!Q:R,2,0),"")</f>
        <v/>
      </c>
    </row>
    <row r="280" spans="1:15" ht="15.75" customHeight="1" x14ac:dyDescent="0.25">
      <c r="A280" s="1" t="s">
        <v>838</v>
      </c>
      <c r="B280" s="1" t="s">
        <v>138</v>
      </c>
      <c r="C280" s="1" t="s">
        <v>28</v>
      </c>
      <c r="D280" s="2" t="s">
        <v>839</v>
      </c>
      <c r="E280" s="1" t="s">
        <v>840</v>
      </c>
      <c r="F280" s="1" t="s">
        <v>20</v>
      </c>
      <c r="G280" s="1" t="s">
        <v>21</v>
      </c>
      <c r="H280" s="1" t="s">
        <v>841</v>
      </c>
      <c r="I280" s="1" t="s">
        <v>16</v>
      </c>
      <c r="J280" s="1" t="s">
        <v>16</v>
      </c>
      <c r="K280" s="4" t="s">
        <v>16</v>
      </c>
      <c r="L280" s="1" t="s">
        <v>23</v>
      </c>
      <c r="M280" s="1" t="s">
        <v>58</v>
      </c>
      <c r="N280" s="7" t="str">
        <f>IFERROR(VLOOKUP(#REF!,'2. Buzzi Admin Only'!N:O,2,0),"")</f>
        <v/>
      </c>
      <c r="O280" s="6" t="str">
        <f>IFERROR(VLOOKUP(K280,'2. Buzzi Admin Only'!Q:R,2,0),"")</f>
        <v/>
      </c>
    </row>
    <row r="281" spans="1:15" ht="15.75" customHeight="1" x14ac:dyDescent="0.25">
      <c r="A281" s="1" t="s">
        <v>842</v>
      </c>
      <c r="B281" s="1" t="s">
        <v>138</v>
      </c>
      <c r="C281" s="1" t="s">
        <v>402</v>
      </c>
      <c r="D281" s="2" t="s">
        <v>843</v>
      </c>
      <c r="E281" s="1" t="s">
        <v>844</v>
      </c>
      <c r="F281" s="1" t="s">
        <v>20</v>
      </c>
      <c r="G281" s="1" t="s">
        <v>21</v>
      </c>
      <c r="H281" s="1" t="s">
        <v>16</v>
      </c>
      <c r="I281" s="1" t="s">
        <v>16</v>
      </c>
      <c r="J281" s="1" t="s">
        <v>16</v>
      </c>
      <c r="K281" s="4" t="s">
        <v>16</v>
      </c>
      <c r="L281" s="1" t="s">
        <v>23</v>
      </c>
      <c r="M281" s="1" t="s">
        <v>42</v>
      </c>
      <c r="N281" s="7" t="str">
        <f>IFERROR(VLOOKUP(#REF!,'2. Buzzi Admin Only'!N:O,2,0),"")</f>
        <v/>
      </c>
      <c r="O281" s="6" t="str">
        <f>IFERROR(VLOOKUP(K281,'2. Buzzi Admin Only'!Q:R,2,0),"")</f>
        <v/>
      </c>
    </row>
    <row r="282" spans="1:15" ht="15.75" customHeight="1" x14ac:dyDescent="0.25">
      <c r="A282" s="1" t="s">
        <v>845</v>
      </c>
      <c r="B282" s="1" t="s">
        <v>38</v>
      </c>
      <c r="C282" s="1" t="s">
        <v>16</v>
      </c>
      <c r="D282" s="2" t="s">
        <v>846</v>
      </c>
      <c r="E282" s="1" t="s">
        <v>40</v>
      </c>
      <c r="F282" s="1" t="s">
        <v>20</v>
      </c>
      <c r="G282" s="1" t="s">
        <v>28</v>
      </c>
      <c r="H282" s="1" t="s">
        <v>16</v>
      </c>
      <c r="I282" s="1" t="s">
        <v>16</v>
      </c>
      <c r="J282" s="1" t="s">
        <v>16</v>
      </c>
      <c r="K282" s="4" t="s">
        <v>16</v>
      </c>
      <c r="L282" s="1" t="s">
        <v>23</v>
      </c>
      <c r="M282" s="1" t="s">
        <v>16</v>
      </c>
      <c r="N282" s="7" t="str">
        <f>IFERROR(VLOOKUP(#REF!,'2. Buzzi Admin Only'!N:O,2,0),"")</f>
        <v/>
      </c>
      <c r="O282" s="6" t="str">
        <f>IFERROR(VLOOKUP(K282,'2. Buzzi Admin Only'!Q:R,2,0),"")</f>
        <v/>
      </c>
    </row>
    <row r="283" spans="1:15" ht="15.75" customHeight="1" x14ac:dyDescent="0.25">
      <c r="A283" s="1" t="s">
        <v>847</v>
      </c>
      <c r="B283" s="1" t="s">
        <v>38</v>
      </c>
      <c r="C283" s="1" t="s">
        <v>16</v>
      </c>
      <c r="D283" s="2" t="s">
        <v>848</v>
      </c>
      <c r="E283" s="1" t="s">
        <v>40</v>
      </c>
      <c r="F283" s="1" t="s">
        <v>20</v>
      </c>
      <c r="G283" s="1" t="s">
        <v>28</v>
      </c>
      <c r="H283" s="1" t="s">
        <v>16</v>
      </c>
      <c r="I283" s="1" t="s">
        <v>16</v>
      </c>
      <c r="J283" s="1" t="s">
        <v>16</v>
      </c>
      <c r="K283" s="4" t="s">
        <v>16</v>
      </c>
      <c r="L283" s="1" t="s">
        <v>23</v>
      </c>
      <c r="M283" s="1" t="s">
        <v>16</v>
      </c>
      <c r="N283" s="7" t="str">
        <f>IFERROR(VLOOKUP(#REF!,'2. Buzzi Admin Only'!N:O,2,0),"")</f>
        <v/>
      </c>
      <c r="O283" s="6" t="str">
        <f>IFERROR(VLOOKUP(K283,'2. Buzzi Admin Only'!Q:R,2,0),"")</f>
        <v/>
      </c>
    </row>
    <row r="284" spans="1:15" ht="15.75" customHeight="1" x14ac:dyDescent="0.25">
      <c r="A284" s="1" t="s">
        <v>849</v>
      </c>
      <c r="B284" s="1" t="s">
        <v>16</v>
      </c>
      <c r="C284" s="1" t="s">
        <v>16</v>
      </c>
      <c r="D284" s="2" t="s">
        <v>16</v>
      </c>
      <c r="E284" s="1" t="s">
        <v>850</v>
      </c>
      <c r="F284" s="1" t="s">
        <v>20</v>
      </c>
      <c r="G284" s="1" t="s">
        <v>21</v>
      </c>
      <c r="H284" s="1" t="s">
        <v>851</v>
      </c>
      <c r="I284" s="1" t="s">
        <v>16</v>
      </c>
      <c r="J284" s="1" t="s">
        <v>16</v>
      </c>
      <c r="K284" s="4" t="s">
        <v>16</v>
      </c>
      <c r="L284" s="1" t="s">
        <v>23</v>
      </c>
      <c r="M284" s="1" t="s">
        <v>16</v>
      </c>
      <c r="N284" s="7" t="str">
        <f>IFERROR(VLOOKUP(#REF!,'2. Buzzi Admin Only'!N:O,2,0),"")</f>
        <v/>
      </c>
      <c r="O284" s="6" t="str">
        <f>IFERROR(VLOOKUP(K284,'2. Buzzi Admin Only'!Q:R,2,0),"")</f>
        <v/>
      </c>
    </row>
    <row r="285" spans="1:15" ht="15.75" customHeight="1" x14ac:dyDescent="0.25">
      <c r="A285" s="1" t="s">
        <v>852</v>
      </c>
      <c r="B285" s="1" t="s">
        <v>138</v>
      </c>
      <c r="C285" s="1" t="s">
        <v>145</v>
      </c>
      <c r="D285" s="2" t="s">
        <v>853</v>
      </c>
      <c r="E285" s="1" t="s">
        <v>854</v>
      </c>
      <c r="F285" s="1" t="s">
        <v>20</v>
      </c>
      <c r="G285" s="1" t="s">
        <v>44</v>
      </c>
      <c r="H285" s="1" t="s">
        <v>16</v>
      </c>
      <c r="I285" s="1" t="s">
        <v>16</v>
      </c>
      <c r="J285" s="1" t="s">
        <v>57</v>
      </c>
      <c r="K285" s="4" t="s">
        <v>16</v>
      </c>
      <c r="L285" s="1" t="s">
        <v>23</v>
      </c>
      <c r="M285" s="1" t="s">
        <v>42</v>
      </c>
      <c r="N285" s="7" t="str">
        <f>IFERROR(VLOOKUP(#REF!,'2. Buzzi Admin Only'!N:O,2,0),"")</f>
        <v/>
      </c>
      <c r="O285" s="6" t="str">
        <f>IFERROR(VLOOKUP(K285,'2. Buzzi Admin Only'!Q:R,2,0),"")</f>
        <v/>
      </c>
    </row>
    <row r="286" spans="1:15" ht="15.75" customHeight="1" x14ac:dyDescent="0.25">
      <c r="A286" s="1" t="s">
        <v>855</v>
      </c>
      <c r="B286" s="1" t="s">
        <v>138</v>
      </c>
      <c r="C286" s="1" t="s">
        <v>16</v>
      </c>
      <c r="D286" s="2" t="s">
        <v>856</v>
      </c>
      <c r="E286" s="1" t="s">
        <v>857</v>
      </c>
      <c r="F286" s="1" t="s">
        <v>20</v>
      </c>
      <c r="G286" s="1" t="s">
        <v>28</v>
      </c>
      <c r="H286" s="1" t="s">
        <v>16</v>
      </c>
      <c r="I286" s="1" t="s">
        <v>16</v>
      </c>
      <c r="J286" s="1" t="s">
        <v>16</v>
      </c>
      <c r="K286" s="4" t="s">
        <v>16</v>
      </c>
      <c r="L286" s="1" t="s">
        <v>23</v>
      </c>
      <c r="M286" s="1" t="s">
        <v>858</v>
      </c>
      <c r="N286" s="7" t="str">
        <f>IFERROR(VLOOKUP(#REF!,'2. Buzzi Admin Only'!N:O,2,0),"")</f>
        <v/>
      </c>
      <c r="O286" s="6" t="str">
        <f>IFERROR(VLOOKUP(K286,'2. Buzzi Admin Only'!Q:R,2,0),"")</f>
        <v/>
      </c>
    </row>
    <row r="287" spans="1:15" ht="15.75" customHeight="1" x14ac:dyDescent="0.25">
      <c r="A287" s="1" t="s">
        <v>859</v>
      </c>
      <c r="B287" s="1" t="s">
        <v>16</v>
      </c>
      <c r="C287" s="1" t="s">
        <v>16</v>
      </c>
      <c r="D287" s="2" t="s">
        <v>16</v>
      </c>
      <c r="E287" s="1" t="s">
        <v>40</v>
      </c>
      <c r="F287" s="1" t="s">
        <v>20</v>
      </c>
      <c r="G287" s="1" t="s">
        <v>70</v>
      </c>
      <c r="H287" s="1" t="s">
        <v>16</v>
      </c>
      <c r="I287" s="1" t="s">
        <v>16</v>
      </c>
      <c r="J287" s="1" t="s">
        <v>16</v>
      </c>
      <c r="K287" s="4" t="s">
        <v>16</v>
      </c>
      <c r="L287" s="1" t="s">
        <v>71</v>
      </c>
      <c r="M287" s="1" t="s">
        <v>16</v>
      </c>
      <c r="N287" s="7" t="str">
        <f>IFERROR(VLOOKUP(#REF!,'2. Buzzi Admin Only'!N:O,2,0),"")</f>
        <v/>
      </c>
      <c r="O287" s="6" t="str">
        <f>IFERROR(VLOOKUP(K287,'2. Buzzi Admin Only'!Q:R,2,0),"")</f>
        <v/>
      </c>
    </row>
    <row r="288" spans="1:15" ht="15.75" customHeight="1" x14ac:dyDescent="0.25">
      <c r="A288" s="1" t="s">
        <v>860</v>
      </c>
      <c r="B288" s="1" t="s">
        <v>16</v>
      </c>
      <c r="C288" s="1" t="s">
        <v>16</v>
      </c>
      <c r="D288" s="2" t="s">
        <v>16</v>
      </c>
      <c r="E288" s="1" t="s">
        <v>16</v>
      </c>
      <c r="F288" s="1" t="s">
        <v>20</v>
      </c>
      <c r="G288" s="1" t="s">
        <v>21</v>
      </c>
      <c r="H288" s="1" t="s">
        <v>16</v>
      </c>
      <c r="I288" s="1" t="s">
        <v>16</v>
      </c>
      <c r="J288" s="1" t="s">
        <v>16</v>
      </c>
      <c r="K288" s="4" t="s">
        <v>16</v>
      </c>
      <c r="L288" s="1" t="s">
        <v>23</v>
      </c>
      <c r="M288" s="1" t="s">
        <v>16</v>
      </c>
      <c r="N288" s="7" t="str">
        <f>IFERROR(VLOOKUP(#REF!,'2. Buzzi Admin Only'!N:O,2,0),"")</f>
        <v/>
      </c>
      <c r="O288" s="6" t="str">
        <f>IFERROR(VLOOKUP(K288,'2. Buzzi Admin Only'!Q:R,2,0),"")</f>
        <v/>
      </c>
    </row>
    <row r="289" spans="1:15" ht="15.75" customHeight="1" x14ac:dyDescent="0.25">
      <c r="A289" s="1" t="s">
        <v>861</v>
      </c>
      <c r="B289" s="1" t="s">
        <v>16</v>
      </c>
      <c r="C289" s="1" t="s">
        <v>16</v>
      </c>
      <c r="D289" s="2" t="s">
        <v>862</v>
      </c>
      <c r="E289" s="1" t="s">
        <v>863</v>
      </c>
      <c r="F289" s="1" t="s">
        <v>20</v>
      </c>
      <c r="G289" s="1" t="s">
        <v>21</v>
      </c>
      <c r="H289" s="1" t="s">
        <v>16</v>
      </c>
      <c r="I289" s="1" t="s">
        <v>16</v>
      </c>
      <c r="J289" s="1" t="s">
        <v>16</v>
      </c>
      <c r="K289" s="4" t="s">
        <v>16</v>
      </c>
      <c r="L289" s="1" t="s">
        <v>23</v>
      </c>
      <c r="M289" s="1" t="s">
        <v>58</v>
      </c>
      <c r="N289" s="7" t="str">
        <f>IFERROR(VLOOKUP(#REF!,'2. Buzzi Admin Only'!N:O,2,0),"")</f>
        <v/>
      </c>
      <c r="O289" s="6" t="str">
        <f>IFERROR(VLOOKUP(K289,'2. Buzzi Admin Only'!Q:R,2,0),"")</f>
        <v/>
      </c>
    </row>
    <row r="290" spans="1:15" ht="15.75" customHeight="1" x14ac:dyDescent="0.25">
      <c r="A290" s="1" t="s">
        <v>864</v>
      </c>
      <c r="B290" s="1" t="s">
        <v>16</v>
      </c>
      <c r="C290" s="1" t="s">
        <v>16</v>
      </c>
      <c r="D290" s="2" t="s">
        <v>865</v>
      </c>
      <c r="E290" s="1" t="s">
        <v>866</v>
      </c>
      <c r="F290" s="1" t="s">
        <v>141</v>
      </c>
      <c r="G290" s="1" t="s">
        <v>142</v>
      </c>
      <c r="H290" s="1" t="s">
        <v>867</v>
      </c>
      <c r="I290" s="1" t="s">
        <v>16</v>
      </c>
      <c r="J290" s="1" t="s">
        <v>16</v>
      </c>
      <c r="K290" s="4" t="s">
        <v>16</v>
      </c>
      <c r="L290" s="1" t="s">
        <v>23</v>
      </c>
      <c r="M290" s="1" t="s">
        <v>868</v>
      </c>
      <c r="N290" s="7" t="str">
        <f>IFERROR(VLOOKUP(#REF!,'2. Buzzi Admin Only'!N:O,2,0),"")</f>
        <v/>
      </c>
      <c r="O290" s="6" t="str">
        <f>IFERROR(VLOOKUP(K290,'2. Buzzi Admin Only'!Q:R,2,0),"")</f>
        <v/>
      </c>
    </row>
    <row r="291" spans="1:15" ht="15.75" customHeight="1" x14ac:dyDescent="0.25">
      <c r="A291" s="1" t="s">
        <v>869</v>
      </c>
      <c r="B291" s="1" t="s">
        <v>16</v>
      </c>
      <c r="C291" s="1" t="s">
        <v>145</v>
      </c>
      <c r="D291" s="2" t="s">
        <v>870</v>
      </c>
      <c r="E291" s="1" t="s">
        <v>871</v>
      </c>
      <c r="F291" s="1" t="s">
        <v>20</v>
      </c>
      <c r="G291" s="1" t="s">
        <v>28</v>
      </c>
      <c r="H291" s="1" t="s">
        <v>16</v>
      </c>
      <c r="I291" s="1" t="s">
        <v>16</v>
      </c>
      <c r="J291" s="1" t="s">
        <v>16</v>
      </c>
      <c r="K291" s="4" t="s">
        <v>16</v>
      </c>
      <c r="L291" s="1" t="s">
        <v>23</v>
      </c>
      <c r="M291" s="1" t="s">
        <v>872</v>
      </c>
      <c r="N291" s="7" t="str">
        <f>IFERROR(VLOOKUP(#REF!,'2. Buzzi Admin Only'!N:O,2,0),"")</f>
        <v/>
      </c>
      <c r="O291" s="6" t="str">
        <f>IFERROR(VLOOKUP(K291,'2. Buzzi Admin Only'!Q:R,2,0),"")</f>
        <v/>
      </c>
    </row>
    <row r="292" spans="1:15" ht="15.75" customHeight="1" x14ac:dyDescent="0.25">
      <c r="A292" s="1" t="s">
        <v>873</v>
      </c>
      <c r="B292" s="1" t="s">
        <v>16</v>
      </c>
      <c r="C292" s="1" t="s">
        <v>312</v>
      </c>
      <c r="D292" s="2" t="s">
        <v>874</v>
      </c>
      <c r="E292" s="1" t="s">
        <v>875</v>
      </c>
      <c r="F292" s="1" t="s">
        <v>20</v>
      </c>
      <c r="G292" s="1" t="s">
        <v>21</v>
      </c>
      <c r="H292" s="1" t="s">
        <v>876</v>
      </c>
      <c r="I292" s="1" t="s">
        <v>16</v>
      </c>
      <c r="J292" s="1" t="s">
        <v>16</v>
      </c>
      <c r="K292" s="4" t="s">
        <v>16</v>
      </c>
      <c r="L292" s="1" t="s">
        <v>23</v>
      </c>
      <c r="M292" s="1" t="s">
        <v>52</v>
      </c>
      <c r="N292" s="7" t="str">
        <f>IFERROR(VLOOKUP(#REF!,'2. Buzzi Admin Only'!N:O,2,0),"")</f>
        <v/>
      </c>
      <c r="O292" s="6" t="str">
        <f>IFERROR(VLOOKUP(K292,'2. Buzzi Admin Only'!Q:R,2,0),"")</f>
        <v/>
      </c>
    </row>
    <row r="293" spans="1:15" ht="15.75" customHeight="1" x14ac:dyDescent="0.25">
      <c r="A293" s="1" t="s">
        <v>877</v>
      </c>
      <c r="B293" s="1" t="s">
        <v>38</v>
      </c>
      <c r="C293" s="1" t="s">
        <v>16</v>
      </c>
      <c r="D293" s="2" t="s">
        <v>878</v>
      </c>
      <c r="E293" s="1" t="s">
        <v>40</v>
      </c>
      <c r="F293" s="1" t="s">
        <v>20</v>
      </c>
      <c r="G293" s="1" t="s">
        <v>70</v>
      </c>
      <c r="H293" s="1" t="s">
        <v>879</v>
      </c>
      <c r="I293" s="1" t="s">
        <v>16</v>
      </c>
      <c r="J293" s="1" t="s">
        <v>16</v>
      </c>
      <c r="K293" s="4" t="s">
        <v>16</v>
      </c>
      <c r="L293" s="1" t="s">
        <v>23</v>
      </c>
      <c r="M293" s="1" t="s">
        <v>16</v>
      </c>
      <c r="N293" s="7" t="str">
        <f>IFERROR(VLOOKUP(#REF!,'2. Buzzi Admin Only'!N:O,2,0),"")</f>
        <v/>
      </c>
      <c r="O293" s="6" t="str">
        <f>IFERROR(VLOOKUP(K293,'2. Buzzi Admin Only'!Q:R,2,0),"")</f>
        <v/>
      </c>
    </row>
    <row r="294" spans="1:15" ht="15.75" customHeight="1" x14ac:dyDescent="0.25">
      <c r="A294" s="1" t="s">
        <v>880</v>
      </c>
      <c r="B294" s="1" t="s">
        <v>158</v>
      </c>
      <c r="C294" s="1" t="s">
        <v>16</v>
      </c>
      <c r="D294" s="2" t="s">
        <v>881</v>
      </c>
      <c r="E294" s="1" t="s">
        <v>40</v>
      </c>
      <c r="F294" s="1" t="s">
        <v>20</v>
      </c>
      <c r="G294" s="1" t="s">
        <v>21</v>
      </c>
      <c r="H294" s="1" t="s">
        <v>16</v>
      </c>
      <c r="I294" s="1" t="s">
        <v>16</v>
      </c>
      <c r="J294" s="1" t="s">
        <v>16</v>
      </c>
      <c r="K294" s="4" t="s">
        <v>16</v>
      </c>
      <c r="L294" s="1" t="s">
        <v>23</v>
      </c>
      <c r="M294" s="1" t="s">
        <v>42</v>
      </c>
      <c r="N294" s="7" t="str">
        <f>IFERROR(VLOOKUP(#REF!,'2. Buzzi Admin Only'!N:O,2,0),"")</f>
        <v/>
      </c>
      <c r="O294" s="6" t="str">
        <f>IFERROR(VLOOKUP(K294,'2. Buzzi Admin Only'!Q:R,2,0),"")</f>
        <v/>
      </c>
    </row>
    <row r="295" spans="1:15" ht="15.75" customHeight="1" x14ac:dyDescent="0.25">
      <c r="A295" s="1" t="s">
        <v>882</v>
      </c>
      <c r="B295" s="1" t="s">
        <v>16</v>
      </c>
      <c r="C295" s="1" t="s">
        <v>765</v>
      </c>
      <c r="D295" s="2" t="s">
        <v>883</v>
      </c>
      <c r="E295" s="1" t="s">
        <v>884</v>
      </c>
      <c r="F295" s="1" t="s">
        <v>20</v>
      </c>
      <c r="G295" s="1" t="s">
        <v>28</v>
      </c>
      <c r="H295" s="1" t="s">
        <v>16</v>
      </c>
      <c r="I295" s="1" t="s">
        <v>16</v>
      </c>
      <c r="J295" s="1" t="s">
        <v>16</v>
      </c>
      <c r="K295" s="4" t="s">
        <v>16</v>
      </c>
      <c r="L295" s="1" t="s">
        <v>23</v>
      </c>
      <c r="M295" s="1" t="s">
        <v>885</v>
      </c>
      <c r="N295" s="7" t="str">
        <f>IFERROR(VLOOKUP(#REF!,'2. Buzzi Admin Only'!N:O,2,0),"")</f>
        <v/>
      </c>
      <c r="O295" s="6" t="str">
        <f>IFERROR(VLOOKUP(K295,'2. Buzzi Admin Only'!Q:R,2,0),"")</f>
        <v/>
      </c>
    </row>
    <row r="296" spans="1:15" ht="15.75" customHeight="1" x14ac:dyDescent="0.25">
      <c r="A296" s="1" t="s">
        <v>886</v>
      </c>
      <c r="B296" s="1" t="s">
        <v>16</v>
      </c>
      <c r="C296" s="1" t="s">
        <v>16</v>
      </c>
      <c r="D296" s="2" t="s">
        <v>16</v>
      </c>
      <c r="E296" s="1" t="s">
        <v>887</v>
      </c>
      <c r="F296" s="1" t="s">
        <v>20</v>
      </c>
      <c r="G296" s="1" t="s">
        <v>44</v>
      </c>
      <c r="H296" s="1" t="s">
        <v>888</v>
      </c>
      <c r="I296" s="1" t="s">
        <v>16</v>
      </c>
      <c r="J296" s="1" t="s">
        <v>57</v>
      </c>
      <c r="K296" s="10">
        <v>700</v>
      </c>
      <c r="L296" s="1" t="s">
        <v>23</v>
      </c>
      <c r="M296" s="1" t="s">
        <v>68</v>
      </c>
      <c r="N296" s="7" t="str">
        <f>IFERROR(VLOOKUP(#REF!,'2. Buzzi Admin Only'!N:O,2,0),"")</f>
        <v/>
      </c>
      <c r="O296" s="6" t="str">
        <f>IFERROR(VLOOKUP(K296,'2. Buzzi Admin Only'!Q:R,2,0),"")</f>
        <v>Power Generation (Turbines, Boilers)</v>
      </c>
    </row>
    <row r="297" spans="1:15" ht="15.75" customHeight="1" x14ac:dyDescent="0.25">
      <c r="A297" s="1" t="s">
        <v>889</v>
      </c>
      <c r="B297" s="1" t="s">
        <v>38</v>
      </c>
      <c r="C297" s="1" t="s">
        <v>16</v>
      </c>
      <c r="D297" s="2" t="s">
        <v>890</v>
      </c>
      <c r="E297" s="1" t="s">
        <v>891</v>
      </c>
      <c r="F297" s="1" t="s">
        <v>20</v>
      </c>
      <c r="G297" s="1" t="s">
        <v>44</v>
      </c>
      <c r="H297" s="1" t="s">
        <v>892</v>
      </c>
      <c r="I297" s="1" t="s">
        <v>16</v>
      </c>
      <c r="J297" s="1" t="s">
        <v>16</v>
      </c>
      <c r="K297" s="4" t="s">
        <v>16</v>
      </c>
      <c r="L297" s="1" t="s">
        <v>23</v>
      </c>
      <c r="M297" s="1" t="s">
        <v>58</v>
      </c>
      <c r="N297" s="7" t="str">
        <f>IFERROR(VLOOKUP(#REF!,'2. Buzzi Admin Only'!N:O,2,0),"")</f>
        <v/>
      </c>
      <c r="O297" s="6" t="str">
        <f>IFERROR(VLOOKUP(K297,'2. Buzzi Admin Only'!Q:R,2,0),"")</f>
        <v/>
      </c>
    </row>
    <row r="298" spans="1:15" ht="15.75" customHeight="1" x14ac:dyDescent="0.25">
      <c r="A298" s="1" t="s">
        <v>893</v>
      </c>
      <c r="B298" s="1" t="s">
        <v>16</v>
      </c>
      <c r="C298" s="1" t="s">
        <v>16</v>
      </c>
      <c r="D298" s="2" t="s">
        <v>16</v>
      </c>
      <c r="E298" s="1" t="s">
        <v>16</v>
      </c>
      <c r="F298" s="1" t="s">
        <v>20</v>
      </c>
      <c r="G298" s="1" t="s">
        <v>44</v>
      </c>
      <c r="H298" s="1" t="s">
        <v>16</v>
      </c>
      <c r="I298" s="1" t="s">
        <v>16</v>
      </c>
      <c r="J298" s="1" t="s">
        <v>16</v>
      </c>
      <c r="K298" s="4" t="s">
        <v>16</v>
      </c>
      <c r="L298" s="1" t="s">
        <v>23</v>
      </c>
      <c r="M298" s="1" t="s">
        <v>16</v>
      </c>
      <c r="N298" s="7" t="str">
        <f>IFERROR(VLOOKUP(#REF!,'2. Buzzi Admin Only'!N:O,2,0),"")</f>
        <v/>
      </c>
      <c r="O298" s="6" t="str">
        <f>IFERROR(VLOOKUP(K298,'2. Buzzi Admin Only'!Q:R,2,0),"")</f>
        <v/>
      </c>
    </row>
    <row r="299" spans="1:15" ht="15.75" customHeight="1" x14ac:dyDescent="0.25">
      <c r="A299" s="1" t="s">
        <v>894</v>
      </c>
      <c r="B299" s="1" t="s">
        <v>38</v>
      </c>
      <c r="C299" s="1" t="s">
        <v>60</v>
      </c>
      <c r="D299" s="2" t="s">
        <v>895</v>
      </c>
      <c r="E299" s="1" t="s">
        <v>896</v>
      </c>
      <c r="F299" s="1" t="s">
        <v>20</v>
      </c>
      <c r="G299" s="1" t="s">
        <v>21</v>
      </c>
      <c r="H299" s="1" t="s">
        <v>897</v>
      </c>
      <c r="I299" s="1" t="s">
        <v>16</v>
      </c>
      <c r="J299" s="1" t="s">
        <v>16</v>
      </c>
      <c r="K299" s="4" t="s">
        <v>16</v>
      </c>
      <c r="L299" s="1" t="s">
        <v>23</v>
      </c>
      <c r="M299" s="1" t="s">
        <v>898</v>
      </c>
      <c r="N299" s="7" t="str">
        <f>IFERROR(VLOOKUP(#REF!,'2. Buzzi Admin Only'!N:O,2,0),"")</f>
        <v/>
      </c>
      <c r="O299" s="6" t="str">
        <f>IFERROR(VLOOKUP(K299,'2. Buzzi Admin Only'!Q:R,2,0),"")</f>
        <v/>
      </c>
    </row>
    <row r="300" spans="1:15" ht="15.75" customHeight="1" x14ac:dyDescent="0.25">
      <c r="A300" s="1" t="s">
        <v>899</v>
      </c>
      <c r="B300" s="1" t="s">
        <v>16</v>
      </c>
      <c r="C300" s="1" t="s">
        <v>16</v>
      </c>
      <c r="D300" s="2" t="s">
        <v>16</v>
      </c>
      <c r="E300" s="1" t="s">
        <v>900</v>
      </c>
      <c r="F300" s="1" t="s">
        <v>20</v>
      </c>
      <c r="G300" s="1" t="s">
        <v>28</v>
      </c>
      <c r="H300" s="1" t="s">
        <v>901</v>
      </c>
      <c r="I300" s="1" t="s">
        <v>16</v>
      </c>
      <c r="J300" s="1" t="s">
        <v>16</v>
      </c>
      <c r="K300" s="4" t="s">
        <v>16</v>
      </c>
      <c r="L300" s="1" t="s">
        <v>23</v>
      </c>
      <c r="M300" s="1" t="s">
        <v>16</v>
      </c>
      <c r="N300" s="7" t="str">
        <f>IFERROR(VLOOKUP(#REF!,'2. Buzzi Admin Only'!N:O,2,0),"")</f>
        <v/>
      </c>
      <c r="O300" s="6" t="str">
        <f>IFERROR(VLOOKUP(K300,'2. Buzzi Admin Only'!Q:R,2,0),"")</f>
        <v/>
      </c>
    </row>
    <row r="301" spans="1:15" ht="15.75" customHeight="1" x14ac:dyDescent="0.25">
      <c r="A301" s="1" t="s">
        <v>902</v>
      </c>
      <c r="B301" s="1" t="s">
        <v>16</v>
      </c>
      <c r="C301" s="1" t="s">
        <v>16</v>
      </c>
      <c r="D301" s="2" t="s">
        <v>323</v>
      </c>
      <c r="E301" s="1" t="s">
        <v>55</v>
      </c>
      <c r="F301" s="1" t="s">
        <v>20</v>
      </c>
      <c r="G301" s="1" t="s">
        <v>21</v>
      </c>
      <c r="H301" s="1" t="s">
        <v>16</v>
      </c>
      <c r="I301" s="1" t="s">
        <v>16</v>
      </c>
      <c r="J301" s="1" t="s">
        <v>57</v>
      </c>
      <c r="K301" s="10">
        <v>700</v>
      </c>
      <c r="L301" s="1" t="s">
        <v>23</v>
      </c>
      <c r="M301" s="1" t="s">
        <v>58</v>
      </c>
      <c r="N301" s="7" t="str">
        <f>IFERROR(VLOOKUP(#REF!,'2. Buzzi Admin Only'!N:O,2,0),"")</f>
        <v/>
      </c>
      <c r="O301" s="6" t="str">
        <f>IFERROR(VLOOKUP(K301,'2. Buzzi Admin Only'!Q:R,2,0),"")</f>
        <v>Power Generation (Turbines, Boilers)</v>
      </c>
    </row>
    <row r="302" spans="1:15" ht="15.75" customHeight="1" x14ac:dyDescent="0.25">
      <c r="A302" s="1" t="s">
        <v>903</v>
      </c>
      <c r="B302" s="1" t="s">
        <v>16</v>
      </c>
      <c r="C302" s="1" t="s">
        <v>16</v>
      </c>
      <c r="D302" s="2" t="s">
        <v>904</v>
      </c>
      <c r="E302" s="1" t="s">
        <v>905</v>
      </c>
      <c r="F302" s="1" t="s">
        <v>20</v>
      </c>
      <c r="G302" s="1" t="s">
        <v>44</v>
      </c>
      <c r="H302" s="1" t="s">
        <v>906</v>
      </c>
      <c r="I302" s="1" t="s">
        <v>16</v>
      </c>
      <c r="J302" s="1" t="s">
        <v>16</v>
      </c>
      <c r="K302" s="4" t="s">
        <v>16</v>
      </c>
      <c r="L302" s="1" t="s">
        <v>23</v>
      </c>
      <c r="M302" s="1" t="s">
        <v>58</v>
      </c>
      <c r="N302" s="7" t="str">
        <f>IFERROR(VLOOKUP(#REF!,'2. Buzzi Admin Only'!N:O,2,0),"")</f>
        <v/>
      </c>
      <c r="O302" s="6" t="str">
        <f>IFERROR(VLOOKUP(K302,'2. Buzzi Admin Only'!Q:R,2,0),"")</f>
        <v/>
      </c>
    </row>
    <row r="303" spans="1:15" ht="15.75" customHeight="1" x14ac:dyDescent="0.25">
      <c r="A303" s="1" t="s">
        <v>907</v>
      </c>
      <c r="B303" s="1" t="s">
        <v>16</v>
      </c>
      <c r="C303" s="1" t="s">
        <v>16</v>
      </c>
      <c r="D303" s="2" t="s">
        <v>16</v>
      </c>
      <c r="E303" s="1" t="s">
        <v>40</v>
      </c>
      <c r="F303" s="1" t="s">
        <v>20</v>
      </c>
      <c r="G303" s="1" t="s">
        <v>21</v>
      </c>
      <c r="H303" s="1" t="s">
        <v>16</v>
      </c>
      <c r="I303" s="1" t="s">
        <v>16</v>
      </c>
      <c r="J303" s="1" t="s">
        <v>16</v>
      </c>
      <c r="K303" s="4" t="s">
        <v>16</v>
      </c>
      <c r="L303" s="1" t="s">
        <v>71</v>
      </c>
      <c r="M303" s="1" t="s">
        <v>16</v>
      </c>
      <c r="N303" s="7" t="str">
        <f>IFERROR(VLOOKUP(#REF!,'2. Buzzi Admin Only'!N:O,2,0),"")</f>
        <v/>
      </c>
      <c r="O303" s="6" t="str">
        <f>IFERROR(VLOOKUP(K303,'2. Buzzi Admin Only'!Q:R,2,0),"")</f>
        <v/>
      </c>
    </row>
    <row r="304" spans="1:15" ht="15.75" customHeight="1" x14ac:dyDescent="0.25">
      <c r="A304" s="1" t="s">
        <v>908</v>
      </c>
      <c r="B304" s="1" t="s">
        <v>16</v>
      </c>
      <c r="C304" s="1" t="s">
        <v>16</v>
      </c>
      <c r="D304" s="2" t="s">
        <v>16</v>
      </c>
      <c r="E304" s="1" t="s">
        <v>40</v>
      </c>
      <c r="F304" s="1" t="s">
        <v>20</v>
      </c>
      <c r="G304" s="1" t="s">
        <v>28</v>
      </c>
      <c r="H304" s="1" t="s">
        <v>16</v>
      </c>
      <c r="I304" s="1" t="s">
        <v>16</v>
      </c>
      <c r="J304" s="1" t="s">
        <v>16</v>
      </c>
      <c r="K304" s="4" t="s">
        <v>16</v>
      </c>
      <c r="L304" s="1" t="s">
        <v>71</v>
      </c>
      <c r="M304" s="1" t="s">
        <v>16</v>
      </c>
      <c r="N304" s="7" t="str">
        <f>IFERROR(VLOOKUP(#REF!,'2. Buzzi Admin Only'!N:O,2,0),"")</f>
        <v/>
      </c>
      <c r="O304" s="6" t="str">
        <f>IFERROR(VLOOKUP(K304,'2. Buzzi Admin Only'!Q:R,2,0),"")</f>
        <v/>
      </c>
    </row>
    <row r="305" spans="1:15" ht="15.75" customHeight="1" x14ac:dyDescent="0.25">
      <c r="A305" s="1" t="s">
        <v>909</v>
      </c>
      <c r="B305" s="1" t="s">
        <v>138</v>
      </c>
      <c r="C305" s="1" t="s">
        <v>16</v>
      </c>
      <c r="D305" s="2" t="s">
        <v>910</v>
      </c>
      <c r="E305" s="1" t="s">
        <v>911</v>
      </c>
      <c r="F305" s="1" t="s">
        <v>20</v>
      </c>
      <c r="G305" s="1" t="s">
        <v>28</v>
      </c>
      <c r="H305" s="1" t="s">
        <v>912</v>
      </c>
      <c r="I305" s="1" t="s">
        <v>16</v>
      </c>
      <c r="J305" s="1" t="s">
        <v>57</v>
      </c>
      <c r="K305" s="4" t="s">
        <v>16</v>
      </c>
      <c r="L305" s="1" t="s">
        <v>23</v>
      </c>
      <c r="M305" s="1" t="s">
        <v>58</v>
      </c>
      <c r="N305" s="7" t="str">
        <f>IFERROR(VLOOKUP(#REF!,'2. Buzzi Admin Only'!N:O,2,0),"")</f>
        <v/>
      </c>
      <c r="O305" s="6" t="str">
        <f>IFERROR(VLOOKUP(K305,'2. Buzzi Admin Only'!Q:R,2,0),"")</f>
        <v/>
      </c>
    </row>
    <row r="306" spans="1:15" ht="15.75" customHeight="1" x14ac:dyDescent="0.25">
      <c r="A306" s="1" t="s">
        <v>913</v>
      </c>
      <c r="B306" s="1" t="s">
        <v>16</v>
      </c>
      <c r="C306" s="1" t="s">
        <v>16</v>
      </c>
      <c r="D306" s="2" t="s">
        <v>16</v>
      </c>
      <c r="E306" s="1" t="s">
        <v>40</v>
      </c>
      <c r="F306" s="1" t="s">
        <v>20</v>
      </c>
      <c r="G306" s="1" t="s">
        <v>44</v>
      </c>
      <c r="H306" s="1" t="s">
        <v>16</v>
      </c>
      <c r="I306" s="1" t="s">
        <v>16</v>
      </c>
      <c r="J306" s="1" t="s">
        <v>16</v>
      </c>
      <c r="K306" s="4" t="s">
        <v>16</v>
      </c>
      <c r="L306" s="1" t="s">
        <v>23</v>
      </c>
      <c r="M306" s="1" t="s">
        <v>16</v>
      </c>
      <c r="N306" s="7" t="str">
        <f>IFERROR(VLOOKUP(#REF!,'2. Buzzi Admin Only'!N:O,2,0),"")</f>
        <v/>
      </c>
      <c r="O306" s="6" t="str">
        <f>IFERROR(VLOOKUP(K306,'2. Buzzi Admin Only'!Q:R,2,0),"")</f>
        <v/>
      </c>
    </row>
    <row r="307" spans="1:15" ht="15.75" customHeight="1" x14ac:dyDescent="0.25">
      <c r="A307" s="1" t="s">
        <v>914</v>
      </c>
      <c r="B307" s="1" t="s">
        <v>16</v>
      </c>
      <c r="C307" s="1" t="s">
        <v>16</v>
      </c>
      <c r="D307" s="2" t="s">
        <v>16</v>
      </c>
      <c r="E307" s="1" t="s">
        <v>40</v>
      </c>
      <c r="F307" s="1" t="s">
        <v>20</v>
      </c>
      <c r="G307" s="1" t="s">
        <v>70</v>
      </c>
      <c r="H307" s="1" t="s">
        <v>915</v>
      </c>
      <c r="I307" s="1" t="s">
        <v>16</v>
      </c>
      <c r="J307" s="1" t="s">
        <v>16</v>
      </c>
      <c r="K307" s="4" t="s">
        <v>16</v>
      </c>
      <c r="L307" s="1" t="s">
        <v>71</v>
      </c>
      <c r="M307" s="1" t="s">
        <v>16</v>
      </c>
      <c r="N307" s="7" t="str">
        <f>IFERROR(VLOOKUP(#REF!,'2. Buzzi Admin Only'!N:O,2,0),"")</f>
        <v/>
      </c>
      <c r="O307" s="6" t="str">
        <f>IFERROR(VLOOKUP(K307,'2. Buzzi Admin Only'!Q:R,2,0),"")</f>
        <v/>
      </c>
    </row>
    <row r="308" spans="1:15" ht="15.75" customHeight="1" x14ac:dyDescent="0.25">
      <c r="A308" s="1" t="s">
        <v>916</v>
      </c>
      <c r="B308" s="1" t="s">
        <v>138</v>
      </c>
      <c r="C308" s="1" t="s">
        <v>16</v>
      </c>
      <c r="D308" s="2" t="s">
        <v>917</v>
      </c>
      <c r="E308" s="1" t="s">
        <v>502</v>
      </c>
      <c r="F308" s="1" t="s">
        <v>20</v>
      </c>
      <c r="G308" s="1" t="s">
        <v>28</v>
      </c>
      <c r="H308" s="1" t="s">
        <v>16</v>
      </c>
      <c r="I308" s="1" t="s">
        <v>16</v>
      </c>
      <c r="J308" s="1" t="s">
        <v>16</v>
      </c>
      <c r="K308" s="4" t="s">
        <v>16</v>
      </c>
      <c r="L308" s="1" t="s">
        <v>23</v>
      </c>
      <c r="M308" s="1" t="s">
        <v>918</v>
      </c>
      <c r="N308" s="7" t="str">
        <f>IFERROR(VLOOKUP(#REF!,'2. Buzzi Admin Only'!N:O,2,0),"")</f>
        <v/>
      </c>
      <c r="O308" s="6" t="str">
        <f>IFERROR(VLOOKUP(K308,'2. Buzzi Admin Only'!Q:R,2,0),"")</f>
        <v/>
      </c>
    </row>
    <row r="309" spans="1:15" ht="15.75" customHeight="1" x14ac:dyDescent="0.25">
      <c r="A309" s="1" t="s">
        <v>919</v>
      </c>
      <c r="B309" s="1" t="s">
        <v>16</v>
      </c>
      <c r="C309" s="1" t="s">
        <v>16</v>
      </c>
      <c r="D309" s="2" t="s">
        <v>16</v>
      </c>
      <c r="E309" s="1" t="s">
        <v>40</v>
      </c>
      <c r="F309" s="1" t="s">
        <v>20</v>
      </c>
      <c r="G309" s="1" t="s">
        <v>28</v>
      </c>
      <c r="H309" s="1" t="s">
        <v>16</v>
      </c>
      <c r="I309" s="1" t="s">
        <v>16</v>
      </c>
      <c r="J309" s="1" t="s">
        <v>16</v>
      </c>
      <c r="K309" s="4" t="s">
        <v>16</v>
      </c>
      <c r="L309" s="1" t="s">
        <v>23</v>
      </c>
      <c r="M309" s="1" t="s">
        <v>16</v>
      </c>
      <c r="N309" s="7" t="str">
        <f>IFERROR(VLOOKUP(#REF!,'2. Buzzi Admin Only'!N:O,2,0),"")</f>
        <v/>
      </c>
      <c r="O309" s="6" t="str">
        <f>IFERROR(VLOOKUP(K309,'2. Buzzi Admin Only'!Q:R,2,0),"")</f>
        <v/>
      </c>
    </row>
    <row r="310" spans="1:15" ht="15.75" customHeight="1" x14ac:dyDescent="0.25">
      <c r="A310" s="1" t="s">
        <v>920</v>
      </c>
      <c r="B310" s="1" t="s">
        <v>158</v>
      </c>
      <c r="C310" s="1" t="s">
        <v>16</v>
      </c>
      <c r="D310" s="2" t="s">
        <v>921</v>
      </c>
      <c r="E310" s="1" t="s">
        <v>922</v>
      </c>
      <c r="F310" s="1" t="s">
        <v>20</v>
      </c>
      <c r="G310" s="1" t="s">
        <v>44</v>
      </c>
      <c r="H310" s="1" t="s">
        <v>16</v>
      </c>
      <c r="I310" s="1" t="s">
        <v>16</v>
      </c>
      <c r="J310" s="1" t="s">
        <v>16</v>
      </c>
      <c r="K310" s="4" t="s">
        <v>16</v>
      </c>
      <c r="L310" s="1" t="s">
        <v>23</v>
      </c>
      <c r="M310" s="1" t="s">
        <v>16</v>
      </c>
      <c r="N310" s="7" t="str">
        <f>IFERROR(VLOOKUP(#REF!,'2. Buzzi Admin Only'!N:O,2,0),"")</f>
        <v/>
      </c>
      <c r="O310" s="6" t="str">
        <f>IFERROR(VLOOKUP(K310,'2. Buzzi Admin Only'!Q:R,2,0),"")</f>
        <v/>
      </c>
    </row>
    <row r="311" spans="1:15" ht="15.75" customHeight="1" x14ac:dyDescent="0.25">
      <c r="A311" s="1" t="s">
        <v>923</v>
      </c>
      <c r="B311" s="1" t="s">
        <v>16</v>
      </c>
      <c r="C311" s="1" t="s">
        <v>16</v>
      </c>
      <c r="D311" s="2" t="s">
        <v>16</v>
      </c>
      <c r="E311" s="1" t="s">
        <v>40</v>
      </c>
      <c r="F311" s="1" t="s">
        <v>20</v>
      </c>
      <c r="G311" s="1" t="s">
        <v>70</v>
      </c>
      <c r="H311" s="1" t="s">
        <v>924</v>
      </c>
      <c r="I311" s="1" t="s">
        <v>16</v>
      </c>
      <c r="J311" s="1" t="s">
        <v>16</v>
      </c>
      <c r="K311" s="4" t="s">
        <v>16</v>
      </c>
      <c r="L311" s="1" t="s">
        <v>71</v>
      </c>
      <c r="M311" s="1" t="s">
        <v>16</v>
      </c>
      <c r="N311" s="7" t="str">
        <f>IFERROR(VLOOKUP(#REF!,'2. Buzzi Admin Only'!N:O,2,0),"")</f>
        <v/>
      </c>
      <c r="O311" s="6" t="str">
        <f>IFERROR(VLOOKUP(K311,'2. Buzzi Admin Only'!Q:R,2,0),"")</f>
        <v/>
      </c>
    </row>
    <row r="312" spans="1:15" ht="15.75" customHeight="1" x14ac:dyDescent="0.25">
      <c r="A312" s="1" t="s">
        <v>925</v>
      </c>
      <c r="B312" s="1" t="s">
        <v>138</v>
      </c>
      <c r="C312" s="1" t="s">
        <v>60</v>
      </c>
      <c r="D312" s="2" t="s">
        <v>926</v>
      </c>
      <c r="E312" s="1" t="s">
        <v>40</v>
      </c>
      <c r="F312" s="1" t="s">
        <v>20</v>
      </c>
      <c r="G312" s="1" t="s">
        <v>21</v>
      </c>
      <c r="H312" s="1" t="s">
        <v>927</v>
      </c>
      <c r="I312" s="1" t="s">
        <v>16</v>
      </c>
      <c r="J312" s="1" t="s">
        <v>16</v>
      </c>
      <c r="K312" s="4" t="s">
        <v>16</v>
      </c>
      <c r="L312" s="1" t="s">
        <v>23</v>
      </c>
      <c r="M312" s="1" t="s">
        <v>858</v>
      </c>
      <c r="N312" s="7" t="str">
        <f>IFERROR(VLOOKUP(#REF!,'2. Buzzi Admin Only'!N:O,2,0),"")</f>
        <v/>
      </c>
      <c r="O312" s="6" t="str">
        <f>IFERROR(VLOOKUP(K312,'2. Buzzi Admin Only'!Q:R,2,0),"")</f>
        <v/>
      </c>
    </row>
    <row r="313" spans="1:15" ht="15.75" customHeight="1" x14ac:dyDescent="0.25">
      <c r="A313" s="1" t="s">
        <v>928</v>
      </c>
      <c r="B313" s="1" t="s">
        <v>16</v>
      </c>
      <c r="C313" s="1" t="s">
        <v>16</v>
      </c>
      <c r="D313" s="2" t="s">
        <v>929</v>
      </c>
      <c r="E313" s="1" t="s">
        <v>930</v>
      </c>
      <c r="F313" s="1" t="s">
        <v>20</v>
      </c>
      <c r="G313" s="1" t="s">
        <v>28</v>
      </c>
      <c r="H313" s="1" t="s">
        <v>16</v>
      </c>
      <c r="I313" s="1" t="s">
        <v>16</v>
      </c>
      <c r="J313" s="1" t="s">
        <v>57</v>
      </c>
      <c r="K313" s="4" t="s">
        <v>16</v>
      </c>
      <c r="L313" s="1" t="s">
        <v>23</v>
      </c>
      <c r="M313" s="1" t="s">
        <v>52</v>
      </c>
      <c r="N313" s="7" t="str">
        <f>IFERROR(VLOOKUP(#REF!,'2. Buzzi Admin Only'!N:O,2,0),"")</f>
        <v/>
      </c>
      <c r="O313" s="6" t="str">
        <f>IFERROR(VLOOKUP(K313,'2. Buzzi Admin Only'!Q:R,2,0),"")</f>
        <v/>
      </c>
    </row>
    <row r="314" spans="1:15" ht="15.75" customHeight="1" x14ac:dyDescent="0.25">
      <c r="A314" s="1" t="s">
        <v>931</v>
      </c>
      <c r="B314" s="1" t="s">
        <v>16</v>
      </c>
      <c r="C314" s="1" t="s">
        <v>16</v>
      </c>
      <c r="D314" s="2" t="s">
        <v>16</v>
      </c>
      <c r="E314" s="1" t="s">
        <v>932</v>
      </c>
      <c r="F314" s="1" t="s">
        <v>141</v>
      </c>
      <c r="G314" s="1" t="s">
        <v>194</v>
      </c>
      <c r="H314" s="1" t="s">
        <v>16</v>
      </c>
      <c r="I314" s="1" t="s">
        <v>16</v>
      </c>
      <c r="J314" s="1" t="s">
        <v>16</v>
      </c>
      <c r="K314" s="4" t="s">
        <v>16</v>
      </c>
      <c r="L314" s="1" t="s">
        <v>71</v>
      </c>
      <c r="M314" s="1" t="s">
        <v>16</v>
      </c>
      <c r="N314" s="7" t="str">
        <f>IFERROR(VLOOKUP(#REF!,'2. Buzzi Admin Only'!N:O,2,0),"")</f>
        <v/>
      </c>
      <c r="O314" s="6" t="str">
        <f>IFERROR(VLOOKUP(K314,'2. Buzzi Admin Only'!Q:R,2,0),"")</f>
        <v/>
      </c>
    </row>
    <row r="315" spans="1:15" ht="15.75" customHeight="1" x14ac:dyDescent="0.25">
      <c r="A315" s="1" t="s">
        <v>933</v>
      </c>
      <c r="B315" s="1" t="s">
        <v>138</v>
      </c>
      <c r="C315" s="1" t="s">
        <v>60</v>
      </c>
      <c r="D315" s="2" t="s">
        <v>934</v>
      </c>
      <c r="E315" s="1" t="s">
        <v>935</v>
      </c>
      <c r="F315" s="1" t="s">
        <v>20</v>
      </c>
      <c r="G315" s="1" t="s">
        <v>28</v>
      </c>
      <c r="H315" s="1" t="s">
        <v>936</v>
      </c>
      <c r="I315" s="1" t="s">
        <v>16</v>
      </c>
      <c r="J315" s="1" t="s">
        <v>16</v>
      </c>
      <c r="K315" s="4" t="s">
        <v>16</v>
      </c>
      <c r="L315" s="1" t="s">
        <v>23</v>
      </c>
      <c r="M315" s="1" t="s">
        <v>937</v>
      </c>
      <c r="N315" s="7" t="str">
        <f>IFERROR(VLOOKUP(#REF!,'2. Buzzi Admin Only'!N:O,2,0),"")</f>
        <v/>
      </c>
      <c r="O315" s="6" t="str">
        <f>IFERROR(VLOOKUP(K315,'2. Buzzi Admin Only'!Q:R,2,0),"")</f>
        <v/>
      </c>
    </row>
    <row r="316" spans="1:15" ht="15.75" customHeight="1" x14ac:dyDescent="0.25">
      <c r="A316" s="1" t="s">
        <v>938</v>
      </c>
      <c r="B316" s="1" t="s">
        <v>16</v>
      </c>
      <c r="C316" s="1" t="s">
        <v>16</v>
      </c>
      <c r="D316" s="2" t="s">
        <v>16</v>
      </c>
      <c r="E316" s="1" t="s">
        <v>40</v>
      </c>
      <c r="F316" s="1" t="s">
        <v>20</v>
      </c>
      <c r="G316" s="1" t="s">
        <v>21</v>
      </c>
      <c r="H316" s="1" t="s">
        <v>939</v>
      </c>
      <c r="I316" s="1" t="s">
        <v>16</v>
      </c>
      <c r="J316" s="1" t="s">
        <v>16</v>
      </c>
      <c r="K316" s="4" t="s">
        <v>16</v>
      </c>
      <c r="L316" s="1" t="s">
        <v>23</v>
      </c>
      <c r="M316" s="1" t="s">
        <v>16</v>
      </c>
      <c r="N316" s="7" t="str">
        <f>IFERROR(VLOOKUP(#REF!,'2. Buzzi Admin Only'!N:O,2,0),"")</f>
        <v/>
      </c>
      <c r="O316" s="6" t="str">
        <f>IFERROR(VLOOKUP(K316,'2. Buzzi Admin Only'!Q:R,2,0),"")</f>
        <v/>
      </c>
    </row>
    <row r="317" spans="1:15" ht="15.75" customHeight="1" x14ac:dyDescent="0.25">
      <c r="A317" s="1" t="s">
        <v>940</v>
      </c>
      <c r="B317" s="1" t="s">
        <v>138</v>
      </c>
      <c r="C317" s="1" t="s">
        <v>16</v>
      </c>
      <c r="D317" s="2" t="s">
        <v>941</v>
      </c>
      <c r="E317" s="1" t="s">
        <v>942</v>
      </c>
      <c r="F317" s="1" t="s">
        <v>20</v>
      </c>
      <c r="G317" s="1" t="s">
        <v>21</v>
      </c>
      <c r="H317" s="1" t="s">
        <v>943</v>
      </c>
      <c r="I317" s="1" t="s">
        <v>16</v>
      </c>
      <c r="J317" s="1" t="s">
        <v>16</v>
      </c>
      <c r="K317" s="4" t="s">
        <v>16</v>
      </c>
      <c r="L317" s="1" t="s">
        <v>23</v>
      </c>
      <c r="M317" s="1" t="s">
        <v>42</v>
      </c>
      <c r="N317" s="7" t="str">
        <f>IFERROR(VLOOKUP(#REF!,'2. Buzzi Admin Only'!N:O,2,0),"")</f>
        <v/>
      </c>
      <c r="O317" s="6" t="str">
        <f>IFERROR(VLOOKUP(K317,'2. Buzzi Admin Only'!Q:R,2,0),"")</f>
        <v/>
      </c>
    </row>
    <row r="318" spans="1:15" ht="15.75" customHeight="1" x14ac:dyDescent="0.25">
      <c r="A318" s="1" t="s">
        <v>944</v>
      </c>
      <c r="B318" s="1" t="s">
        <v>16</v>
      </c>
      <c r="C318" s="1" t="s">
        <v>16</v>
      </c>
      <c r="D318" s="2" t="s">
        <v>16</v>
      </c>
      <c r="E318" s="1" t="s">
        <v>16</v>
      </c>
      <c r="F318" s="1" t="s">
        <v>16</v>
      </c>
      <c r="G318" s="1" t="s">
        <v>16</v>
      </c>
      <c r="H318" s="1" t="s">
        <v>16</v>
      </c>
      <c r="I318" s="1" t="s">
        <v>16</v>
      </c>
      <c r="J318" s="1" t="s">
        <v>16</v>
      </c>
      <c r="K318" s="4" t="s">
        <v>16</v>
      </c>
      <c r="L318" s="1" t="s">
        <v>16</v>
      </c>
      <c r="M318" s="1" t="s">
        <v>16</v>
      </c>
      <c r="N318" s="7" t="str">
        <f>IFERROR(VLOOKUP(#REF!,'2. Buzzi Admin Only'!N:O,2,0),"")</f>
        <v/>
      </c>
      <c r="O318" s="6" t="str">
        <f>IFERROR(VLOOKUP(K318,'2. Buzzi Admin Only'!Q:R,2,0),"")</f>
        <v/>
      </c>
    </row>
    <row r="319" spans="1:15" ht="15.75" customHeight="1" x14ac:dyDescent="0.25">
      <c r="A319" s="1" t="s">
        <v>945</v>
      </c>
      <c r="B319" s="1" t="s">
        <v>38</v>
      </c>
      <c r="C319" s="1" t="s">
        <v>16</v>
      </c>
      <c r="D319" s="2" t="s">
        <v>890</v>
      </c>
      <c r="E319" s="1" t="s">
        <v>946</v>
      </c>
      <c r="F319" s="1" t="s">
        <v>20</v>
      </c>
      <c r="G319" s="1" t="s">
        <v>28</v>
      </c>
      <c r="H319" s="1" t="s">
        <v>16</v>
      </c>
      <c r="I319" s="1" t="s">
        <v>16</v>
      </c>
      <c r="J319" s="1" t="s">
        <v>16</v>
      </c>
      <c r="K319" s="4" t="s">
        <v>16</v>
      </c>
      <c r="L319" s="1" t="s">
        <v>23</v>
      </c>
      <c r="M319" s="1" t="s">
        <v>58</v>
      </c>
      <c r="N319" s="7" t="str">
        <f>IFERROR(VLOOKUP(#REF!,'2. Buzzi Admin Only'!N:O,2,0),"")</f>
        <v/>
      </c>
      <c r="O319" s="6" t="str">
        <f>IFERROR(VLOOKUP(K319,'2. Buzzi Admin Only'!Q:R,2,0),"")</f>
        <v/>
      </c>
    </row>
    <row r="320" spans="1:15" ht="15.75" customHeight="1" x14ac:dyDescent="0.25">
      <c r="A320" s="1" t="s">
        <v>947</v>
      </c>
      <c r="B320" s="1" t="s">
        <v>158</v>
      </c>
      <c r="C320" s="1" t="s">
        <v>16</v>
      </c>
      <c r="D320" s="2" t="s">
        <v>948</v>
      </c>
      <c r="E320" s="1" t="s">
        <v>40</v>
      </c>
      <c r="F320" s="1" t="s">
        <v>20</v>
      </c>
      <c r="G320" s="1" t="s">
        <v>28</v>
      </c>
      <c r="H320" s="1" t="s">
        <v>16</v>
      </c>
      <c r="I320" s="1" t="s">
        <v>16</v>
      </c>
      <c r="J320" s="1" t="s">
        <v>16</v>
      </c>
      <c r="K320" s="4" t="s">
        <v>16</v>
      </c>
      <c r="L320" s="1" t="s">
        <v>23</v>
      </c>
      <c r="M320" s="1" t="s">
        <v>16</v>
      </c>
      <c r="N320" s="7" t="str">
        <f>IFERROR(VLOOKUP(#REF!,'2. Buzzi Admin Only'!N:O,2,0),"")</f>
        <v/>
      </c>
      <c r="O320" s="6" t="str">
        <f>IFERROR(VLOOKUP(K320,'2. Buzzi Admin Only'!Q:R,2,0),"")</f>
        <v/>
      </c>
    </row>
    <row r="321" spans="1:15" ht="15.75" customHeight="1" x14ac:dyDescent="0.25">
      <c r="A321" s="1" t="s">
        <v>949</v>
      </c>
      <c r="B321" s="1" t="s">
        <v>16</v>
      </c>
      <c r="C321" s="1" t="s">
        <v>16</v>
      </c>
      <c r="D321" s="2" t="s">
        <v>16</v>
      </c>
      <c r="E321" s="1" t="s">
        <v>16</v>
      </c>
      <c r="F321" s="1" t="s">
        <v>20</v>
      </c>
      <c r="G321" s="1" t="s">
        <v>225</v>
      </c>
      <c r="H321" s="1" t="s">
        <v>16</v>
      </c>
      <c r="I321" s="1" t="s">
        <v>16</v>
      </c>
      <c r="J321" s="1" t="s">
        <v>16</v>
      </c>
      <c r="K321" s="4" t="s">
        <v>16</v>
      </c>
      <c r="L321" s="1" t="s">
        <v>71</v>
      </c>
      <c r="M321" s="1" t="s">
        <v>16</v>
      </c>
      <c r="N321" s="7" t="str">
        <f>IFERROR(VLOOKUP(#REF!,'2. Buzzi Admin Only'!N:O,2,0),"")</f>
        <v/>
      </c>
      <c r="O321" s="6" t="str">
        <f>IFERROR(VLOOKUP(K321,'2. Buzzi Admin Only'!Q:R,2,0),"")</f>
        <v/>
      </c>
    </row>
    <row r="322" spans="1:15" ht="15.75" customHeight="1" x14ac:dyDescent="0.25">
      <c r="A322" s="1" t="s">
        <v>950</v>
      </c>
      <c r="B322" s="1" t="s">
        <v>16</v>
      </c>
      <c r="C322" s="1" t="s">
        <v>16</v>
      </c>
      <c r="D322" s="2" t="s">
        <v>16</v>
      </c>
      <c r="E322" s="1" t="s">
        <v>40</v>
      </c>
      <c r="F322" s="1" t="s">
        <v>20</v>
      </c>
      <c r="G322" s="1" t="s">
        <v>21</v>
      </c>
      <c r="H322" s="1" t="s">
        <v>16</v>
      </c>
      <c r="I322" s="1" t="s">
        <v>16</v>
      </c>
      <c r="J322" s="1" t="s">
        <v>16</v>
      </c>
      <c r="K322" s="4" t="s">
        <v>16</v>
      </c>
      <c r="L322" s="1" t="s">
        <v>71</v>
      </c>
      <c r="M322" s="1" t="s">
        <v>16</v>
      </c>
      <c r="N322" s="7" t="str">
        <f>IFERROR(VLOOKUP(#REF!,'2. Buzzi Admin Only'!N:O,2,0),"")</f>
        <v/>
      </c>
      <c r="O322" s="6" t="str">
        <f>IFERROR(VLOOKUP(K322,'2. Buzzi Admin Only'!Q:R,2,0),"")</f>
        <v/>
      </c>
    </row>
    <row r="323" spans="1:15" ht="15.75" customHeight="1" x14ac:dyDescent="0.25">
      <c r="A323" s="1" t="s">
        <v>951</v>
      </c>
      <c r="B323" s="1" t="s">
        <v>16</v>
      </c>
      <c r="C323" s="1" t="s">
        <v>16</v>
      </c>
      <c r="D323" s="2" t="s">
        <v>16</v>
      </c>
      <c r="E323" s="1" t="s">
        <v>16</v>
      </c>
      <c r="F323" s="1" t="s">
        <v>20</v>
      </c>
      <c r="G323" s="1" t="s">
        <v>70</v>
      </c>
      <c r="H323" s="1" t="s">
        <v>16</v>
      </c>
      <c r="I323" s="1" t="s">
        <v>16</v>
      </c>
      <c r="J323" s="1" t="s">
        <v>16</v>
      </c>
      <c r="K323" s="4" t="s">
        <v>16</v>
      </c>
      <c r="L323" s="1" t="s">
        <v>71</v>
      </c>
      <c r="M323" s="1" t="s">
        <v>16</v>
      </c>
      <c r="N323" s="7" t="str">
        <f>IFERROR(VLOOKUP(#REF!,'2. Buzzi Admin Only'!N:O,2,0),"")</f>
        <v/>
      </c>
      <c r="O323" s="6" t="str">
        <f>IFERROR(VLOOKUP(K323,'2. Buzzi Admin Only'!Q:R,2,0),"")</f>
        <v/>
      </c>
    </row>
    <row r="324" spans="1:15" ht="15.75" customHeight="1" x14ac:dyDescent="0.25">
      <c r="A324" s="1" t="s">
        <v>952</v>
      </c>
      <c r="B324" s="1" t="s">
        <v>38</v>
      </c>
      <c r="C324" s="1" t="s">
        <v>16</v>
      </c>
      <c r="D324" s="2" t="s">
        <v>16</v>
      </c>
      <c r="E324" s="1" t="s">
        <v>40</v>
      </c>
      <c r="F324" s="1" t="s">
        <v>141</v>
      </c>
      <c r="G324" s="1" t="s">
        <v>194</v>
      </c>
      <c r="H324" s="1" t="s">
        <v>953</v>
      </c>
      <c r="I324" s="1" t="s">
        <v>16</v>
      </c>
      <c r="J324" s="1" t="s">
        <v>16</v>
      </c>
      <c r="K324" s="4" t="s">
        <v>16</v>
      </c>
      <c r="L324" s="1" t="s">
        <v>71</v>
      </c>
      <c r="M324" s="1" t="s">
        <v>16</v>
      </c>
      <c r="N324" s="7" t="str">
        <f>IFERROR(VLOOKUP(#REF!,'2. Buzzi Admin Only'!N:O,2,0),"")</f>
        <v/>
      </c>
      <c r="O324" s="6" t="str">
        <f>IFERROR(VLOOKUP(K324,'2. Buzzi Admin Only'!Q:R,2,0),"")</f>
        <v/>
      </c>
    </row>
    <row r="325" spans="1:15" ht="15.75" customHeight="1" x14ac:dyDescent="0.25">
      <c r="A325" s="1" t="s">
        <v>954</v>
      </c>
      <c r="B325" s="1" t="s">
        <v>16</v>
      </c>
      <c r="C325" s="1" t="s">
        <v>60</v>
      </c>
      <c r="D325" s="2" t="s">
        <v>955</v>
      </c>
      <c r="E325" s="1" t="s">
        <v>956</v>
      </c>
      <c r="F325" s="1" t="s">
        <v>20</v>
      </c>
      <c r="G325" s="1" t="s">
        <v>21</v>
      </c>
      <c r="H325" s="1" t="s">
        <v>16</v>
      </c>
      <c r="I325" s="1" t="s">
        <v>16</v>
      </c>
      <c r="J325" s="1" t="s">
        <v>16</v>
      </c>
      <c r="K325" s="4" t="s">
        <v>16</v>
      </c>
      <c r="L325" s="1" t="s">
        <v>23</v>
      </c>
      <c r="M325" s="1" t="s">
        <v>957</v>
      </c>
      <c r="N325" s="7" t="str">
        <f>IFERROR(VLOOKUP(#REF!,'2. Buzzi Admin Only'!N:O,2,0),"")</f>
        <v/>
      </c>
      <c r="O325" s="6" t="str">
        <f>IFERROR(VLOOKUP(K325,'2. Buzzi Admin Only'!Q:R,2,0),"")</f>
        <v/>
      </c>
    </row>
    <row r="326" spans="1:15" ht="15.75" customHeight="1" x14ac:dyDescent="0.25">
      <c r="A326" s="1" t="s">
        <v>958</v>
      </c>
      <c r="B326" s="1" t="s">
        <v>16</v>
      </c>
      <c r="C326" s="1" t="s">
        <v>16</v>
      </c>
      <c r="D326" s="2" t="s">
        <v>959</v>
      </c>
      <c r="E326" s="1" t="s">
        <v>960</v>
      </c>
      <c r="F326" s="1" t="s">
        <v>20</v>
      </c>
      <c r="G326" s="1" t="s">
        <v>28</v>
      </c>
      <c r="H326" s="1" t="s">
        <v>16</v>
      </c>
      <c r="I326" s="1" t="s">
        <v>16</v>
      </c>
      <c r="J326" s="1" t="s">
        <v>16</v>
      </c>
      <c r="K326" s="4" t="s">
        <v>16</v>
      </c>
      <c r="L326" s="1" t="s">
        <v>71</v>
      </c>
      <c r="M326" s="1" t="s">
        <v>16</v>
      </c>
      <c r="N326" s="7" t="str">
        <f>IFERROR(VLOOKUP(#REF!,'2. Buzzi Admin Only'!N:O,2,0),"")</f>
        <v/>
      </c>
      <c r="O326" s="6" t="str">
        <f>IFERROR(VLOOKUP(K326,'2. Buzzi Admin Only'!Q:R,2,0),"")</f>
        <v/>
      </c>
    </row>
    <row r="327" spans="1:15" ht="15.75" customHeight="1" x14ac:dyDescent="0.25">
      <c r="A327" s="1" t="s">
        <v>961</v>
      </c>
      <c r="B327" s="1" t="s">
        <v>16</v>
      </c>
      <c r="C327" s="1" t="s">
        <v>145</v>
      </c>
      <c r="D327" s="2" t="s">
        <v>962</v>
      </c>
      <c r="E327" s="1" t="s">
        <v>963</v>
      </c>
      <c r="F327" s="1" t="s">
        <v>20</v>
      </c>
      <c r="G327" s="1" t="s">
        <v>28</v>
      </c>
      <c r="H327" s="1" t="s">
        <v>964</v>
      </c>
      <c r="I327" s="1" t="s">
        <v>16</v>
      </c>
      <c r="J327" s="1" t="s">
        <v>16</v>
      </c>
      <c r="K327" s="4" t="s">
        <v>16</v>
      </c>
      <c r="L327" s="1" t="s">
        <v>23</v>
      </c>
      <c r="M327" s="1" t="s">
        <v>965</v>
      </c>
      <c r="N327" s="7" t="str">
        <f>IFERROR(VLOOKUP(#REF!,'2. Buzzi Admin Only'!N:O,2,0),"")</f>
        <v/>
      </c>
      <c r="O327" s="6" t="str">
        <f>IFERROR(VLOOKUP(K327,'2. Buzzi Admin Only'!Q:R,2,0),"")</f>
        <v/>
      </c>
    </row>
    <row r="328" spans="1:15" ht="15.75" customHeight="1" x14ac:dyDescent="0.25">
      <c r="A328" s="1" t="s">
        <v>966</v>
      </c>
      <c r="B328" s="1" t="s">
        <v>16</v>
      </c>
      <c r="C328" s="1" t="s">
        <v>16</v>
      </c>
      <c r="D328" s="2" t="s">
        <v>16</v>
      </c>
      <c r="E328" s="1" t="s">
        <v>16</v>
      </c>
      <c r="F328" s="1" t="s">
        <v>16</v>
      </c>
      <c r="G328" s="1" t="s">
        <v>16</v>
      </c>
      <c r="H328" s="1" t="s">
        <v>16</v>
      </c>
      <c r="I328" s="1" t="s">
        <v>16</v>
      </c>
      <c r="J328" s="1" t="s">
        <v>16</v>
      </c>
      <c r="K328" s="4" t="s">
        <v>16</v>
      </c>
      <c r="L328" s="1" t="s">
        <v>16</v>
      </c>
      <c r="M328" s="1" t="s">
        <v>16</v>
      </c>
      <c r="N328" s="7" t="str">
        <f>IFERROR(VLOOKUP(#REF!,'2. Buzzi Admin Only'!N:O,2,0),"")</f>
        <v/>
      </c>
      <c r="O328" s="6" t="str">
        <f>IFERROR(VLOOKUP(K328,'2. Buzzi Admin Only'!Q:R,2,0),"")</f>
        <v/>
      </c>
    </row>
    <row r="329" spans="1:15" ht="15.75" customHeight="1" x14ac:dyDescent="0.25">
      <c r="A329" s="1" t="s">
        <v>967</v>
      </c>
      <c r="B329" s="1" t="s">
        <v>138</v>
      </c>
      <c r="C329" s="1" t="s">
        <v>16</v>
      </c>
      <c r="D329" s="2" t="s">
        <v>968</v>
      </c>
      <c r="E329" s="1" t="s">
        <v>40</v>
      </c>
      <c r="F329" s="1" t="s">
        <v>20</v>
      </c>
      <c r="G329" s="1" t="s">
        <v>28</v>
      </c>
      <c r="H329" s="1" t="s">
        <v>969</v>
      </c>
      <c r="I329" s="1" t="s">
        <v>16</v>
      </c>
      <c r="J329" s="1" t="s">
        <v>16</v>
      </c>
      <c r="K329" s="4" t="s">
        <v>16</v>
      </c>
      <c r="L329" s="1" t="s">
        <v>23</v>
      </c>
      <c r="M329" s="1" t="s">
        <v>42</v>
      </c>
      <c r="N329" s="7" t="str">
        <f>IFERROR(VLOOKUP(#REF!,'2. Buzzi Admin Only'!N:O,2,0),"")</f>
        <v/>
      </c>
      <c r="O329" s="6" t="str">
        <f>IFERROR(VLOOKUP(K329,'2. Buzzi Admin Only'!Q:R,2,0),"")</f>
        <v/>
      </c>
    </row>
    <row r="330" spans="1:15" ht="15.75" customHeight="1" x14ac:dyDescent="0.25">
      <c r="A330" s="1" t="s">
        <v>970</v>
      </c>
      <c r="B330" s="1" t="s">
        <v>16</v>
      </c>
      <c r="C330" s="1" t="s">
        <v>16</v>
      </c>
      <c r="D330" s="2" t="s">
        <v>835</v>
      </c>
      <c r="E330" s="1" t="s">
        <v>971</v>
      </c>
      <c r="F330" s="1" t="s">
        <v>20</v>
      </c>
      <c r="G330" s="1" t="s">
        <v>21</v>
      </c>
      <c r="H330" s="1" t="s">
        <v>972</v>
      </c>
      <c r="I330" s="1" t="s">
        <v>16</v>
      </c>
      <c r="J330" s="1" t="s">
        <v>16</v>
      </c>
      <c r="K330" s="4" t="s">
        <v>16</v>
      </c>
      <c r="L330" s="1" t="s">
        <v>23</v>
      </c>
      <c r="M330" s="1" t="s">
        <v>52</v>
      </c>
      <c r="N330" s="7" t="str">
        <f>IFERROR(VLOOKUP(#REF!,'2. Buzzi Admin Only'!N:O,2,0),"")</f>
        <v/>
      </c>
      <c r="O330" s="6" t="str">
        <f>IFERROR(VLOOKUP(K330,'2. Buzzi Admin Only'!Q:R,2,0),"")</f>
        <v/>
      </c>
    </row>
    <row r="331" spans="1:15" ht="15.75" customHeight="1" x14ac:dyDescent="0.25">
      <c r="A331" s="1" t="s">
        <v>973</v>
      </c>
      <c r="B331" s="1" t="s">
        <v>16</v>
      </c>
      <c r="C331" s="1" t="s">
        <v>16</v>
      </c>
      <c r="D331" s="2" t="s">
        <v>16</v>
      </c>
      <c r="E331" s="1" t="s">
        <v>16</v>
      </c>
      <c r="F331" s="1" t="s">
        <v>20</v>
      </c>
      <c r="G331" s="1" t="s">
        <v>70</v>
      </c>
      <c r="H331" s="1" t="s">
        <v>16</v>
      </c>
      <c r="I331" s="1" t="s">
        <v>16</v>
      </c>
      <c r="J331" s="1" t="s">
        <v>16</v>
      </c>
      <c r="K331" s="4" t="s">
        <v>16</v>
      </c>
      <c r="L331" s="1" t="s">
        <v>71</v>
      </c>
      <c r="M331" s="1" t="s">
        <v>16</v>
      </c>
      <c r="N331" s="7" t="str">
        <f>IFERROR(VLOOKUP(#REF!,'2. Buzzi Admin Only'!N:O,2,0),"")</f>
        <v/>
      </c>
      <c r="O331" s="6" t="str">
        <f>IFERROR(VLOOKUP(K331,'2. Buzzi Admin Only'!Q:R,2,0),"")</f>
        <v/>
      </c>
    </row>
    <row r="332" spans="1:15" ht="15.75" customHeight="1" x14ac:dyDescent="0.25">
      <c r="A332" s="1" t="s">
        <v>974</v>
      </c>
      <c r="B332" s="1" t="s">
        <v>138</v>
      </c>
      <c r="C332" s="1" t="s">
        <v>16</v>
      </c>
      <c r="D332" s="2" t="s">
        <v>830</v>
      </c>
      <c r="E332" s="1" t="s">
        <v>975</v>
      </c>
      <c r="F332" s="1" t="s">
        <v>20</v>
      </c>
      <c r="G332" s="1" t="s">
        <v>44</v>
      </c>
      <c r="H332" s="1" t="s">
        <v>16</v>
      </c>
      <c r="I332" s="1" t="s">
        <v>16</v>
      </c>
      <c r="J332" s="1" t="s">
        <v>57</v>
      </c>
      <c r="K332" s="4" t="s">
        <v>16</v>
      </c>
      <c r="L332" s="1" t="s">
        <v>23</v>
      </c>
      <c r="M332" s="1" t="s">
        <v>58</v>
      </c>
      <c r="N332" s="7" t="str">
        <f>IFERROR(VLOOKUP(#REF!,'2. Buzzi Admin Only'!N:O,2,0),"")</f>
        <v/>
      </c>
      <c r="O332" s="6" t="str">
        <f>IFERROR(VLOOKUP(K332,'2. Buzzi Admin Only'!Q:R,2,0),"")</f>
        <v/>
      </c>
    </row>
    <row r="333" spans="1:15" ht="15.75" customHeight="1" x14ac:dyDescent="0.25">
      <c r="A333" s="1" t="s">
        <v>976</v>
      </c>
      <c r="B333" s="1" t="s">
        <v>16</v>
      </c>
      <c r="C333" s="1" t="s">
        <v>16</v>
      </c>
      <c r="D333" s="2" t="s">
        <v>16</v>
      </c>
      <c r="E333" s="1" t="s">
        <v>40</v>
      </c>
      <c r="F333" s="1" t="s">
        <v>16</v>
      </c>
      <c r="G333" s="1" t="s">
        <v>16</v>
      </c>
      <c r="H333" s="1" t="s">
        <v>16</v>
      </c>
      <c r="I333" s="1" t="s">
        <v>16</v>
      </c>
      <c r="J333" s="1" t="s">
        <v>16</v>
      </c>
      <c r="K333" s="4" t="s">
        <v>16</v>
      </c>
      <c r="L333" s="1" t="s">
        <v>71</v>
      </c>
      <c r="M333" s="1" t="s">
        <v>16</v>
      </c>
      <c r="N333" s="7" t="str">
        <f>IFERROR(VLOOKUP(#REF!,'2. Buzzi Admin Only'!N:O,2,0),"")</f>
        <v/>
      </c>
      <c r="O333" s="6" t="str">
        <f>IFERROR(VLOOKUP(K333,'2. Buzzi Admin Only'!Q:R,2,0),"")</f>
        <v/>
      </c>
    </row>
    <row r="334" spans="1:15" ht="15.75" customHeight="1" x14ac:dyDescent="0.25">
      <c r="A334" s="1" t="s">
        <v>977</v>
      </c>
      <c r="B334" s="1" t="s">
        <v>16</v>
      </c>
      <c r="C334" s="1" t="s">
        <v>16</v>
      </c>
      <c r="D334" s="2" t="s">
        <v>16</v>
      </c>
      <c r="E334" s="1" t="s">
        <v>911</v>
      </c>
      <c r="F334" s="1" t="s">
        <v>20</v>
      </c>
      <c r="G334" s="1" t="s">
        <v>28</v>
      </c>
      <c r="H334" s="1" t="s">
        <v>978</v>
      </c>
      <c r="I334" s="1" t="s">
        <v>16</v>
      </c>
      <c r="J334" s="1" t="s">
        <v>16</v>
      </c>
      <c r="K334" s="4" t="s">
        <v>16</v>
      </c>
      <c r="L334" s="1" t="s">
        <v>23</v>
      </c>
      <c r="M334" s="1" t="s">
        <v>58</v>
      </c>
      <c r="N334" s="7" t="str">
        <f>IFERROR(VLOOKUP(#REF!,'2. Buzzi Admin Only'!N:O,2,0),"")</f>
        <v/>
      </c>
      <c r="O334" s="6" t="str">
        <f>IFERROR(VLOOKUP(K334,'2. Buzzi Admin Only'!Q:R,2,0),"")</f>
        <v/>
      </c>
    </row>
    <row r="335" spans="1:15" ht="15.75" customHeight="1" x14ac:dyDescent="0.25">
      <c r="A335" s="1" t="s">
        <v>979</v>
      </c>
      <c r="B335" s="1" t="s">
        <v>38</v>
      </c>
      <c r="C335" s="1" t="s">
        <v>16</v>
      </c>
      <c r="D335" s="2" t="s">
        <v>980</v>
      </c>
      <c r="E335" s="1" t="s">
        <v>40</v>
      </c>
      <c r="F335" s="1" t="s">
        <v>20</v>
      </c>
      <c r="G335" s="1" t="s">
        <v>21</v>
      </c>
      <c r="H335" s="1" t="s">
        <v>16</v>
      </c>
      <c r="I335" s="1" t="s">
        <v>16</v>
      </c>
      <c r="J335" s="1" t="s">
        <v>16</v>
      </c>
      <c r="K335" s="4" t="s">
        <v>16</v>
      </c>
      <c r="L335" s="1" t="s">
        <v>23</v>
      </c>
      <c r="M335" s="1" t="s">
        <v>42</v>
      </c>
      <c r="N335" s="7" t="str">
        <f>IFERROR(VLOOKUP(#REF!,'2. Buzzi Admin Only'!N:O,2,0),"")</f>
        <v/>
      </c>
      <c r="O335" s="6" t="str">
        <f>IFERROR(VLOOKUP(K335,'2. Buzzi Admin Only'!Q:R,2,0),"")</f>
        <v/>
      </c>
    </row>
    <row r="336" spans="1:15" ht="15.75" customHeight="1" x14ac:dyDescent="0.25">
      <c r="A336" s="1" t="s">
        <v>981</v>
      </c>
      <c r="B336" s="1" t="s">
        <v>138</v>
      </c>
      <c r="C336" s="1" t="s">
        <v>312</v>
      </c>
      <c r="D336" s="2" t="s">
        <v>982</v>
      </c>
      <c r="E336" s="1" t="s">
        <v>983</v>
      </c>
      <c r="F336" s="1" t="s">
        <v>20</v>
      </c>
      <c r="G336" s="1" t="s">
        <v>44</v>
      </c>
      <c r="H336" s="1" t="s">
        <v>16</v>
      </c>
      <c r="I336" s="1" t="s">
        <v>16</v>
      </c>
      <c r="J336" s="1" t="s">
        <v>16</v>
      </c>
      <c r="K336" s="4" t="s">
        <v>16</v>
      </c>
      <c r="L336" s="1" t="s">
        <v>23</v>
      </c>
      <c r="M336" s="1" t="s">
        <v>58</v>
      </c>
      <c r="N336" s="7" t="str">
        <f>IFERROR(VLOOKUP(#REF!,'2. Buzzi Admin Only'!N:O,2,0),"")</f>
        <v/>
      </c>
      <c r="O336" s="6" t="str">
        <f>IFERROR(VLOOKUP(K336,'2. Buzzi Admin Only'!Q:R,2,0),"")</f>
        <v/>
      </c>
    </row>
    <row r="337" spans="1:15" ht="15.75" customHeight="1" x14ac:dyDescent="0.25">
      <c r="A337" s="1" t="s">
        <v>984</v>
      </c>
      <c r="B337" s="1" t="s">
        <v>38</v>
      </c>
      <c r="C337" s="1" t="s">
        <v>60</v>
      </c>
      <c r="D337" s="2" t="s">
        <v>810</v>
      </c>
      <c r="E337" s="1" t="s">
        <v>40</v>
      </c>
      <c r="F337" s="1" t="s">
        <v>20</v>
      </c>
      <c r="G337" s="1" t="s">
        <v>21</v>
      </c>
      <c r="H337" s="1" t="s">
        <v>16</v>
      </c>
      <c r="I337" s="1" t="s">
        <v>16</v>
      </c>
      <c r="J337" s="1" t="s">
        <v>16</v>
      </c>
      <c r="K337" s="4" t="s">
        <v>16</v>
      </c>
      <c r="L337" s="1" t="s">
        <v>23</v>
      </c>
      <c r="M337" s="1" t="s">
        <v>58</v>
      </c>
      <c r="N337" s="7" t="str">
        <f>IFERROR(VLOOKUP(#REF!,'2. Buzzi Admin Only'!N:O,2,0),"")</f>
        <v/>
      </c>
      <c r="O337" s="6" t="str">
        <f>IFERROR(VLOOKUP(K337,'2. Buzzi Admin Only'!Q:R,2,0),"")</f>
        <v/>
      </c>
    </row>
    <row r="338" spans="1:15" ht="15.75" customHeight="1" x14ac:dyDescent="0.25">
      <c r="A338" s="1" t="s">
        <v>985</v>
      </c>
      <c r="B338" s="1" t="s">
        <v>16</v>
      </c>
      <c r="C338" s="1" t="s">
        <v>16</v>
      </c>
      <c r="D338" s="2" t="s">
        <v>16</v>
      </c>
      <c r="E338" s="1" t="s">
        <v>986</v>
      </c>
      <c r="F338" s="1" t="s">
        <v>20</v>
      </c>
      <c r="G338" s="1" t="s">
        <v>21</v>
      </c>
      <c r="H338" s="1" t="s">
        <v>987</v>
      </c>
      <c r="I338" s="1" t="s">
        <v>16</v>
      </c>
      <c r="J338" s="1" t="s">
        <v>16</v>
      </c>
      <c r="K338" s="4" t="s">
        <v>16</v>
      </c>
      <c r="L338" s="1" t="s">
        <v>71</v>
      </c>
      <c r="M338" s="1" t="s">
        <v>16</v>
      </c>
      <c r="N338" s="7" t="str">
        <f>IFERROR(VLOOKUP(#REF!,'2. Buzzi Admin Only'!N:O,2,0),"")</f>
        <v/>
      </c>
      <c r="O338" s="6" t="str">
        <f>IFERROR(VLOOKUP(K338,'2. Buzzi Admin Only'!Q:R,2,0),"")</f>
        <v/>
      </c>
    </row>
    <row r="339" spans="1:15" ht="15.75" customHeight="1" x14ac:dyDescent="0.25">
      <c r="A339" s="1" t="s">
        <v>988</v>
      </c>
      <c r="B339" s="1" t="s">
        <v>16</v>
      </c>
      <c r="C339" s="1" t="s">
        <v>16</v>
      </c>
      <c r="D339" s="2" t="s">
        <v>16</v>
      </c>
      <c r="E339" s="1" t="s">
        <v>989</v>
      </c>
      <c r="F339" s="1" t="s">
        <v>20</v>
      </c>
      <c r="G339" s="1" t="s">
        <v>44</v>
      </c>
      <c r="H339" s="1" t="s">
        <v>990</v>
      </c>
      <c r="I339" s="1" t="s">
        <v>16</v>
      </c>
      <c r="J339" s="1" t="s">
        <v>16</v>
      </c>
      <c r="K339" s="4" t="s">
        <v>16</v>
      </c>
      <c r="L339" s="1" t="s">
        <v>23</v>
      </c>
      <c r="M339" s="1" t="s">
        <v>16</v>
      </c>
      <c r="N339" s="7" t="str">
        <f>IFERROR(VLOOKUP(#REF!,'2. Buzzi Admin Only'!N:O,2,0),"")</f>
        <v/>
      </c>
      <c r="O339" s="6" t="str">
        <f>IFERROR(VLOOKUP(K339,'2. Buzzi Admin Only'!Q:R,2,0),"")</f>
        <v/>
      </c>
    </row>
    <row r="340" spans="1:15" ht="15.75" customHeight="1" x14ac:dyDescent="0.25">
      <c r="A340" s="1" t="s">
        <v>991</v>
      </c>
      <c r="B340" s="1" t="s">
        <v>158</v>
      </c>
      <c r="C340" s="1" t="s">
        <v>16</v>
      </c>
      <c r="D340" s="2" t="s">
        <v>788</v>
      </c>
      <c r="E340" s="1" t="s">
        <v>992</v>
      </c>
      <c r="F340" s="1" t="s">
        <v>20</v>
      </c>
      <c r="G340" s="1" t="s">
        <v>44</v>
      </c>
      <c r="H340" s="1" t="s">
        <v>993</v>
      </c>
      <c r="I340" s="1" t="s">
        <v>16</v>
      </c>
      <c r="J340" s="1" t="s">
        <v>16</v>
      </c>
      <c r="K340" s="4" t="s">
        <v>16</v>
      </c>
      <c r="L340" s="1" t="s">
        <v>23</v>
      </c>
      <c r="M340" s="1" t="s">
        <v>994</v>
      </c>
      <c r="N340" s="7" t="str">
        <f>IFERROR(VLOOKUP(#REF!,'2. Buzzi Admin Only'!N:O,2,0),"")</f>
        <v/>
      </c>
      <c r="O340" s="6" t="str">
        <f>IFERROR(VLOOKUP(K340,'2. Buzzi Admin Only'!Q:R,2,0),"")</f>
        <v/>
      </c>
    </row>
    <row r="341" spans="1:15" ht="15.75" customHeight="1" x14ac:dyDescent="0.25">
      <c r="A341" s="1" t="s">
        <v>995</v>
      </c>
      <c r="B341" s="1" t="s">
        <v>16</v>
      </c>
      <c r="C341" s="1" t="s">
        <v>16</v>
      </c>
      <c r="D341" s="2" t="s">
        <v>996</v>
      </c>
      <c r="E341" s="1" t="s">
        <v>997</v>
      </c>
      <c r="F341" s="1" t="s">
        <v>130</v>
      </c>
      <c r="G341" s="1" t="s">
        <v>225</v>
      </c>
      <c r="H341" s="1" t="s">
        <v>16</v>
      </c>
      <c r="I341" s="1" t="s">
        <v>16</v>
      </c>
      <c r="J341" s="1" t="s">
        <v>16</v>
      </c>
      <c r="K341" s="4" t="s">
        <v>16</v>
      </c>
      <c r="L341" s="1" t="s">
        <v>23</v>
      </c>
      <c r="M341" s="1" t="s">
        <v>998</v>
      </c>
      <c r="N341" s="7" t="str">
        <f>IFERROR(VLOOKUP(#REF!,'2. Buzzi Admin Only'!N:O,2,0),"")</f>
        <v/>
      </c>
      <c r="O341" s="6" t="str">
        <f>IFERROR(VLOOKUP(K341,'2. Buzzi Admin Only'!Q:R,2,0),"")</f>
        <v/>
      </c>
    </row>
    <row r="342" spans="1:15" ht="15.75" customHeight="1" x14ac:dyDescent="0.25">
      <c r="A342" s="1" t="s">
        <v>999</v>
      </c>
      <c r="B342" s="1" t="s">
        <v>16</v>
      </c>
      <c r="C342" s="1" t="s">
        <v>16</v>
      </c>
      <c r="D342" s="2" t="s">
        <v>16</v>
      </c>
      <c r="E342" s="1" t="s">
        <v>40</v>
      </c>
      <c r="F342" s="1" t="s">
        <v>20</v>
      </c>
      <c r="G342" s="1" t="s">
        <v>70</v>
      </c>
      <c r="H342" s="1" t="s">
        <v>16</v>
      </c>
      <c r="I342" s="1" t="s">
        <v>16</v>
      </c>
      <c r="J342" s="1" t="s">
        <v>16</v>
      </c>
      <c r="K342" s="4" t="s">
        <v>16</v>
      </c>
      <c r="L342" s="1" t="s">
        <v>71</v>
      </c>
      <c r="M342" s="1" t="s">
        <v>16</v>
      </c>
      <c r="N342" s="7" t="str">
        <f>IFERROR(VLOOKUP(#REF!,'2. Buzzi Admin Only'!N:O,2,0),"")</f>
        <v/>
      </c>
      <c r="O342" s="6" t="str">
        <f>IFERROR(VLOOKUP(K342,'2. Buzzi Admin Only'!Q:R,2,0),"")</f>
        <v/>
      </c>
    </row>
    <row r="343" spans="1:15" ht="15.75" customHeight="1" x14ac:dyDescent="0.25">
      <c r="A343" s="1" t="s">
        <v>1000</v>
      </c>
      <c r="B343" s="1" t="s">
        <v>138</v>
      </c>
      <c r="C343" s="1" t="s">
        <v>16</v>
      </c>
      <c r="D343" s="2" t="s">
        <v>1001</v>
      </c>
      <c r="E343" s="1" t="s">
        <v>1002</v>
      </c>
      <c r="F343" s="1" t="s">
        <v>20</v>
      </c>
      <c r="G343" s="1" t="s">
        <v>44</v>
      </c>
      <c r="H343" s="1" t="s">
        <v>1003</v>
      </c>
      <c r="I343" s="1" t="s">
        <v>16</v>
      </c>
      <c r="J343" s="1" t="s">
        <v>16</v>
      </c>
      <c r="K343" s="4" t="s">
        <v>16</v>
      </c>
      <c r="L343" s="1" t="s">
        <v>23</v>
      </c>
      <c r="M343" s="1" t="s">
        <v>58</v>
      </c>
      <c r="N343" s="7" t="str">
        <f>IFERROR(VLOOKUP(#REF!,'2. Buzzi Admin Only'!N:O,2,0),"")</f>
        <v/>
      </c>
      <c r="O343" s="6" t="str">
        <f>IFERROR(VLOOKUP(K343,'2. Buzzi Admin Only'!Q:R,2,0),"")</f>
        <v/>
      </c>
    </row>
    <row r="344" spans="1:15" ht="15.75" customHeight="1" x14ac:dyDescent="0.25">
      <c r="A344" s="1" t="s">
        <v>1004</v>
      </c>
      <c r="B344" s="1" t="s">
        <v>138</v>
      </c>
      <c r="C344" s="1" t="s">
        <v>16</v>
      </c>
      <c r="D344" s="2" t="s">
        <v>1005</v>
      </c>
      <c r="E344" s="1" t="s">
        <v>1006</v>
      </c>
      <c r="F344" s="1" t="s">
        <v>20</v>
      </c>
      <c r="G344" s="1" t="s">
        <v>21</v>
      </c>
      <c r="H344" s="1" t="s">
        <v>1007</v>
      </c>
      <c r="I344" s="1" t="s">
        <v>16</v>
      </c>
      <c r="J344" s="1" t="s">
        <v>16</v>
      </c>
      <c r="K344" s="4" t="s">
        <v>16</v>
      </c>
      <c r="L344" s="1" t="s">
        <v>23</v>
      </c>
      <c r="M344" s="1" t="s">
        <v>1008</v>
      </c>
      <c r="N344" s="7" t="str">
        <f>IFERROR(VLOOKUP(#REF!,'2. Buzzi Admin Only'!N:O,2,0),"")</f>
        <v/>
      </c>
      <c r="O344" s="6" t="str">
        <f>IFERROR(VLOOKUP(K344,'2. Buzzi Admin Only'!Q:R,2,0),"")</f>
        <v/>
      </c>
    </row>
    <row r="345" spans="1:15" ht="15.75" customHeight="1" x14ac:dyDescent="0.25">
      <c r="A345" s="1" t="s">
        <v>1009</v>
      </c>
      <c r="B345" s="1" t="s">
        <v>38</v>
      </c>
      <c r="C345" s="1" t="s">
        <v>44</v>
      </c>
      <c r="D345" s="2" t="s">
        <v>1010</v>
      </c>
      <c r="E345" s="1" t="s">
        <v>40</v>
      </c>
      <c r="F345" s="1" t="s">
        <v>20</v>
      </c>
      <c r="G345" s="1" t="s">
        <v>28</v>
      </c>
      <c r="H345" s="1" t="s">
        <v>16</v>
      </c>
      <c r="I345" s="1" t="s">
        <v>16</v>
      </c>
      <c r="J345" s="1" t="s">
        <v>16</v>
      </c>
      <c r="K345" s="4" t="s">
        <v>16</v>
      </c>
      <c r="L345" s="1" t="s">
        <v>23</v>
      </c>
      <c r="M345" s="1" t="s">
        <v>58</v>
      </c>
      <c r="N345" s="7" t="str">
        <f>IFERROR(VLOOKUP(#REF!,'2. Buzzi Admin Only'!N:O,2,0),"")</f>
        <v/>
      </c>
      <c r="O345" s="6" t="str">
        <f>IFERROR(VLOOKUP(K345,'2. Buzzi Admin Only'!Q:R,2,0),"")</f>
        <v/>
      </c>
    </row>
    <row r="346" spans="1:15" ht="15.75" customHeight="1" x14ac:dyDescent="0.25">
      <c r="A346" s="1" t="s">
        <v>1011</v>
      </c>
      <c r="B346" s="1" t="s">
        <v>16</v>
      </c>
      <c r="C346" s="1" t="s">
        <v>16</v>
      </c>
      <c r="D346" s="2" t="s">
        <v>16</v>
      </c>
      <c r="E346" s="1" t="s">
        <v>1012</v>
      </c>
      <c r="F346" s="1" t="s">
        <v>130</v>
      </c>
      <c r="G346" s="1" t="s">
        <v>1013</v>
      </c>
      <c r="H346" s="1" t="s">
        <v>1014</v>
      </c>
      <c r="I346" s="1" t="s">
        <v>16</v>
      </c>
      <c r="J346" s="1" t="s">
        <v>16</v>
      </c>
      <c r="K346" s="4" t="s">
        <v>16</v>
      </c>
      <c r="L346" s="1" t="s">
        <v>23</v>
      </c>
      <c r="M346" s="1" t="s">
        <v>1015</v>
      </c>
      <c r="N346" s="7" t="str">
        <f>IFERROR(VLOOKUP(#REF!,'2. Buzzi Admin Only'!N:O,2,0),"")</f>
        <v/>
      </c>
      <c r="O346" s="6" t="str">
        <f>IFERROR(VLOOKUP(K346,'2. Buzzi Admin Only'!Q:R,2,0),"")</f>
        <v/>
      </c>
    </row>
    <row r="347" spans="1:15" ht="15.75" customHeight="1" x14ac:dyDescent="0.25">
      <c r="A347" s="1" t="s">
        <v>1016</v>
      </c>
      <c r="B347" s="1" t="s">
        <v>38</v>
      </c>
      <c r="C347" s="1" t="s">
        <v>16</v>
      </c>
      <c r="D347" s="2" t="s">
        <v>1017</v>
      </c>
      <c r="E347" s="1" t="s">
        <v>1018</v>
      </c>
      <c r="F347" s="1" t="s">
        <v>20</v>
      </c>
      <c r="G347" s="1" t="s">
        <v>28</v>
      </c>
      <c r="H347" s="1" t="s">
        <v>1019</v>
      </c>
      <c r="I347" s="1" t="s">
        <v>16</v>
      </c>
      <c r="J347" s="1" t="s">
        <v>16</v>
      </c>
      <c r="K347" s="4" t="s">
        <v>16</v>
      </c>
      <c r="L347" s="1" t="s">
        <v>23</v>
      </c>
      <c r="M347" s="1" t="s">
        <v>68</v>
      </c>
      <c r="N347" s="7" t="str">
        <f>IFERROR(VLOOKUP(#REF!,'2. Buzzi Admin Only'!N:O,2,0),"")</f>
        <v/>
      </c>
      <c r="O347" s="6" t="str">
        <f>IFERROR(VLOOKUP(K347,'2. Buzzi Admin Only'!Q:R,2,0),"")</f>
        <v/>
      </c>
    </row>
    <row r="348" spans="1:15" ht="15.75" customHeight="1" x14ac:dyDescent="0.25">
      <c r="A348" s="1" t="s">
        <v>1020</v>
      </c>
      <c r="B348" s="1" t="s">
        <v>16</v>
      </c>
      <c r="C348" s="1" t="s">
        <v>16</v>
      </c>
      <c r="D348" s="2" t="s">
        <v>16</v>
      </c>
      <c r="E348" s="1" t="s">
        <v>1021</v>
      </c>
      <c r="F348" s="1" t="s">
        <v>20</v>
      </c>
      <c r="G348" s="1" t="s">
        <v>21</v>
      </c>
      <c r="H348" s="1" t="s">
        <v>1022</v>
      </c>
      <c r="I348" s="1" t="s">
        <v>16</v>
      </c>
      <c r="J348" s="1" t="s">
        <v>16</v>
      </c>
      <c r="K348" s="4" t="s">
        <v>16</v>
      </c>
      <c r="L348" s="1" t="s">
        <v>23</v>
      </c>
      <c r="M348" s="1" t="s">
        <v>52</v>
      </c>
      <c r="N348" s="7" t="str">
        <f>IFERROR(VLOOKUP(#REF!,'2. Buzzi Admin Only'!N:O,2,0),"")</f>
        <v/>
      </c>
      <c r="O348" s="6" t="str">
        <f>IFERROR(VLOOKUP(K348,'2. Buzzi Admin Only'!Q:R,2,0),"")</f>
        <v/>
      </c>
    </row>
    <row r="349" spans="1:15" ht="15.75" customHeight="1" x14ac:dyDescent="0.25">
      <c r="A349" s="1" t="s">
        <v>1023</v>
      </c>
      <c r="B349" s="1" t="s">
        <v>138</v>
      </c>
      <c r="C349" s="1" t="s">
        <v>16</v>
      </c>
      <c r="D349" s="2" t="s">
        <v>941</v>
      </c>
      <c r="E349" s="1" t="s">
        <v>992</v>
      </c>
      <c r="F349" s="1" t="s">
        <v>20</v>
      </c>
      <c r="G349" s="1" t="s">
        <v>21</v>
      </c>
      <c r="H349" s="1" t="s">
        <v>1024</v>
      </c>
      <c r="I349" s="1" t="s">
        <v>16</v>
      </c>
      <c r="J349" s="1" t="s">
        <v>16</v>
      </c>
      <c r="K349" s="4" t="s">
        <v>16</v>
      </c>
      <c r="L349" s="1" t="s">
        <v>23</v>
      </c>
      <c r="M349" s="1" t="s">
        <v>623</v>
      </c>
      <c r="N349" s="7" t="str">
        <f>IFERROR(VLOOKUP(#REF!,'2. Buzzi Admin Only'!N:O,2,0),"")</f>
        <v/>
      </c>
      <c r="O349" s="6" t="str">
        <f>IFERROR(VLOOKUP(K349,'2. Buzzi Admin Only'!Q:R,2,0),"")</f>
        <v/>
      </c>
    </row>
    <row r="350" spans="1:15" ht="15.75" customHeight="1" x14ac:dyDescent="0.25">
      <c r="A350" s="1" t="s">
        <v>1025</v>
      </c>
      <c r="B350" s="1" t="s">
        <v>158</v>
      </c>
      <c r="C350" s="1" t="s">
        <v>16</v>
      </c>
      <c r="D350" s="2" t="s">
        <v>788</v>
      </c>
      <c r="E350" s="1" t="s">
        <v>1026</v>
      </c>
      <c r="F350" s="1" t="s">
        <v>20</v>
      </c>
      <c r="G350" s="1" t="s">
        <v>21</v>
      </c>
      <c r="H350" s="1" t="s">
        <v>1027</v>
      </c>
      <c r="I350" s="1" t="s">
        <v>16</v>
      </c>
      <c r="J350" s="1" t="s">
        <v>16</v>
      </c>
      <c r="K350" s="4" t="s">
        <v>16</v>
      </c>
      <c r="L350" s="1" t="s">
        <v>23</v>
      </c>
      <c r="M350" s="1" t="s">
        <v>58</v>
      </c>
      <c r="N350" s="7" t="str">
        <f>IFERROR(VLOOKUP(#REF!,'2. Buzzi Admin Only'!N:O,2,0),"")</f>
        <v/>
      </c>
      <c r="O350" s="6" t="str">
        <f>IFERROR(VLOOKUP(K350,'2. Buzzi Admin Only'!Q:R,2,0),"")</f>
        <v/>
      </c>
    </row>
    <row r="351" spans="1:15" ht="15.75" customHeight="1" x14ac:dyDescent="0.25">
      <c r="A351" s="1" t="s">
        <v>1028</v>
      </c>
      <c r="B351" s="1" t="s">
        <v>16</v>
      </c>
      <c r="C351" s="1" t="s">
        <v>16</v>
      </c>
      <c r="D351" s="2" t="s">
        <v>16</v>
      </c>
      <c r="E351" s="1" t="s">
        <v>16</v>
      </c>
      <c r="F351" s="1" t="s">
        <v>20</v>
      </c>
      <c r="G351" s="1" t="s">
        <v>28</v>
      </c>
      <c r="H351" s="1" t="s">
        <v>1029</v>
      </c>
      <c r="I351" s="1" t="s">
        <v>16</v>
      </c>
      <c r="J351" s="1" t="s">
        <v>16</v>
      </c>
      <c r="K351" s="4" t="s">
        <v>16</v>
      </c>
      <c r="L351" s="1" t="s">
        <v>23</v>
      </c>
      <c r="M351" s="1" t="s">
        <v>16</v>
      </c>
      <c r="N351" s="7" t="str">
        <f>IFERROR(VLOOKUP(#REF!,'2. Buzzi Admin Only'!N:O,2,0),"")</f>
        <v/>
      </c>
      <c r="O351" s="6" t="str">
        <f>IFERROR(VLOOKUP(K351,'2. Buzzi Admin Only'!Q:R,2,0),"")</f>
        <v/>
      </c>
    </row>
    <row r="352" spans="1:15" ht="15.75" customHeight="1" x14ac:dyDescent="0.25">
      <c r="A352" s="1" t="s">
        <v>1030</v>
      </c>
      <c r="B352" s="1" t="s">
        <v>138</v>
      </c>
      <c r="C352" s="1" t="s">
        <v>1031</v>
      </c>
      <c r="D352" s="2" t="s">
        <v>1032</v>
      </c>
      <c r="E352" s="1" t="s">
        <v>308</v>
      </c>
      <c r="F352" s="1" t="s">
        <v>20</v>
      </c>
      <c r="G352" s="1" t="s">
        <v>44</v>
      </c>
      <c r="H352" s="1" t="s">
        <v>16</v>
      </c>
      <c r="I352" s="1" t="s">
        <v>16</v>
      </c>
      <c r="J352" s="1" t="s">
        <v>16</v>
      </c>
      <c r="K352" s="4" t="s">
        <v>16</v>
      </c>
      <c r="L352" s="1" t="s">
        <v>23</v>
      </c>
      <c r="M352" s="1" t="s">
        <v>58</v>
      </c>
      <c r="N352" s="7" t="str">
        <f>IFERROR(VLOOKUP(#REF!,'2. Buzzi Admin Only'!N:O,2,0),"")</f>
        <v/>
      </c>
      <c r="O352" s="6" t="str">
        <f>IFERROR(VLOOKUP(K352,'2. Buzzi Admin Only'!Q:R,2,0),"")</f>
        <v/>
      </c>
    </row>
    <row r="353" spans="1:15" ht="15.75" customHeight="1" x14ac:dyDescent="0.25">
      <c r="A353" s="1" t="s">
        <v>1033</v>
      </c>
      <c r="B353" s="1" t="s">
        <v>16</v>
      </c>
      <c r="C353" s="1" t="s">
        <v>16</v>
      </c>
      <c r="D353" s="2" t="s">
        <v>16</v>
      </c>
      <c r="E353" s="1" t="s">
        <v>40</v>
      </c>
      <c r="F353" s="1" t="s">
        <v>16</v>
      </c>
      <c r="G353" s="1" t="s">
        <v>16</v>
      </c>
      <c r="H353" s="1" t="s">
        <v>16</v>
      </c>
      <c r="I353" s="1" t="s">
        <v>16</v>
      </c>
      <c r="J353" s="1" t="s">
        <v>16</v>
      </c>
      <c r="K353" s="4" t="s">
        <v>16</v>
      </c>
      <c r="L353" s="1" t="s">
        <v>71</v>
      </c>
      <c r="M353" s="1" t="s">
        <v>16</v>
      </c>
      <c r="N353" s="7" t="str">
        <f>IFERROR(VLOOKUP(#REF!,'2. Buzzi Admin Only'!N:O,2,0),"")</f>
        <v/>
      </c>
      <c r="O353" s="6" t="str">
        <f>IFERROR(VLOOKUP(K353,'2. Buzzi Admin Only'!Q:R,2,0),"")</f>
        <v/>
      </c>
    </row>
    <row r="354" spans="1:15" ht="15.75" customHeight="1" x14ac:dyDescent="0.25">
      <c r="A354" s="1" t="s">
        <v>1034</v>
      </c>
      <c r="B354" s="1" t="s">
        <v>158</v>
      </c>
      <c r="C354" s="1" t="s">
        <v>60</v>
      </c>
      <c r="D354" s="2" t="s">
        <v>982</v>
      </c>
      <c r="E354" s="1" t="s">
        <v>1035</v>
      </c>
      <c r="F354" s="1" t="s">
        <v>20</v>
      </c>
      <c r="G354" s="1" t="s">
        <v>44</v>
      </c>
      <c r="H354" s="1" t="s">
        <v>1036</v>
      </c>
      <c r="I354" s="1" t="s">
        <v>16</v>
      </c>
      <c r="J354" s="1" t="s">
        <v>57</v>
      </c>
      <c r="K354" s="4" t="s">
        <v>16</v>
      </c>
      <c r="L354" s="1" t="s">
        <v>23</v>
      </c>
      <c r="M354" s="1" t="s">
        <v>58</v>
      </c>
      <c r="N354" s="7" t="str">
        <f>IFERROR(VLOOKUP(#REF!,'2. Buzzi Admin Only'!N:O,2,0),"")</f>
        <v/>
      </c>
      <c r="O354" s="6" t="str">
        <f>IFERROR(VLOOKUP(K354,'2. Buzzi Admin Only'!Q:R,2,0),"")</f>
        <v/>
      </c>
    </row>
    <row r="355" spans="1:15" ht="15.75" customHeight="1" x14ac:dyDescent="0.25">
      <c r="A355" s="1" t="s">
        <v>1037</v>
      </c>
      <c r="B355" s="1" t="s">
        <v>16</v>
      </c>
      <c r="C355" s="1" t="s">
        <v>60</v>
      </c>
      <c r="D355" s="2" t="s">
        <v>934</v>
      </c>
      <c r="E355" s="1" t="s">
        <v>1038</v>
      </c>
      <c r="F355" s="1" t="s">
        <v>20</v>
      </c>
      <c r="G355" s="1" t="s">
        <v>28</v>
      </c>
      <c r="H355" s="1" t="s">
        <v>1039</v>
      </c>
      <c r="I355" s="1" t="s">
        <v>16</v>
      </c>
      <c r="J355" s="1" t="s">
        <v>16</v>
      </c>
      <c r="K355" s="4" t="s">
        <v>16</v>
      </c>
      <c r="L355" s="1" t="s">
        <v>23</v>
      </c>
      <c r="M355" s="1" t="s">
        <v>1040</v>
      </c>
      <c r="N355" s="7" t="str">
        <f>IFERROR(VLOOKUP(#REF!,'2. Buzzi Admin Only'!N:O,2,0),"")</f>
        <v/>
      </c>
      <c r="O355" s="6" t="str">
        <f>IFERROR(VLOOKUP(K355,'2. Buzzi Admin Only'!Q:R,2,0),"")</f>
        <v/>
      </c>
    </row>
    <row r="356" spans="1:15" ht="15.75" customHeight="1" x14ac:dyDescent="0.25">
      <c r="A356" s="1" t="s">
        <v>1041</v>
      </c>
      <c r="B356" s="1" t="s">
        <v>38</v>
      </c>
      <c r="C356" s="1" t="s">
        <v>145</v>
      </c>
      <c r="D356" s="2" t="s">
        <v>941</v>
      </c>
      <c r="E356" s="1" t="s">
        <v>992</v>
      </c>
      <c r="F356" s="1" t="s">
        <v>20</v>
      </c>
      <c r="G356" s="1" t="s">
        <v>21</v>
      </c>
      <c r="H356" s="1" t="s">
        <v>1042</v>
      </c>
      <c r="I356" s="1" t="s">
        <v>16</v>
      </c>
      <c r="J356" s="1" t="s">
        <v>16</v>
      </c>
      <c r="K356" s="4" t="s">
        <v>16</v>
      </c>
      <c r="L356" s="1" t="s">
        <v>23</v>
      </c>
      <c r="M356" s="1" t="s">
        <v>58</v>
      </c>
      <c r="N356" s="7" t="str">
        <f>IFERROR(VLOOKUP(#REF!,'2. Buzzi Admin Only'!N:O,2,0),"")</f>
        <v/>
      </c>
      <c r="O356" s="6" t="str">
        <f>IFERROR(VLOOKUP(K356,'2. Buzzi Admin Only'!Q:R,2,0),"")</f>
        <v/>
      </c>
    </row>
    <row r="357" spans="1:15" ht="15.75" customHeight="1" x14ac:dyDescent="0.25">
      <c r="A357" s="1" t="s">
        <v>1043</v>
      </c>
      <c r="B357" s="1" t="s">
        <v>138</v>
      </c>
      <c r="C357" s="1" t="s">
        <v>16</v>
      </c>
      <c r="D357" s="2" t="s">
        <v>1044</v>
      </c>
      <c r="E357" s="1" t="s">
        <v>1045</v>
      </c>
      <c r="F357" s="1" t="s">
        <v>20</v>
      </c>
      <c r="G357" s="1" t="s">
        <v>21</v>
      </c>
      <c r="H357" s="1" t="s">
        <v>1046</v>
      </c>
      <c r="I357" s="1" t="s">
        <v>16</v>
      </c>
      <c r="J357" s="1" t="s">
        <v>16</v>
      </c>
      <c r="K357" s="4" t="s">
        <v>16</v>
      </c>
      <c r="L357" s="1" t="s">
        <v>23</v>
      </c>
      <c r="M357" s="1" t="s">
        <v>58</v>
      </c>
      <c r="N357" s="7" t="str">
        <f>IFERROR(VLOOKUP(#REF!,'2. Buzzi Admin Only'!N:O,2,0),"")</f>
        <v/>
      </c>
      <c r="O357" s="6" t="str">
        <f>IFERROR(VLOOKUP(K357,'2. Buzzi Admin Only'!Q:R,2,0),"")</f>
        <v/>
      </c>
    </row>
    <row r="358" spans="1:15" ht="15.75" customHeight="1" x14ac:dyDescent="0.25">
      <c r="A358" s="1" t="s">
        <v>1047</v>
      </c>
      <c r="B358" s="1" t="s">
        <v>138</v>
      </c>
      <c r="C358" s="1" t="s">
        <v>60</v>
      </c>
      <c r="D358" s="2" t="s">
        <v>1048</v>
      </c>
      <c r="E358" s="1" t="s">
        <v>1049</v>
      </c>
      <c r="F358" s="1" t="s">
        <v>20</v>
      </c>
      <c r="G358" s="1" t="s">
        <v>28</v>
      </c>
      <c r="H358" s="1" t="s">
        <v>16</v>
      </c>
      <c r="I358" s="1" t="s">
        <v>16</v>
      </c>
      <c r="J358" s="1" t="s">
        <v>16</v>
      </c>
      <c r="K358" s="4" t="s">
        <v>16</v>
      </c>
      <c r="L358" s="1" t="s">
        <v>23</v>
      </c>
      <c r="M358" s="1" t="s">
        <v>68</v>
      </c>
      <c r="N358" s="7" t="str">
        <f>IFERROR(VLOOKUP(#REF!,'2. Buzzi Admin Only'!N:O,2,0),"")</f>
        <v/>
      </c>
      <c r="O358" s="6" t="str">
        <f>IFERROR(VLOOKUP(K358,'2. Buzzi Admin Only'!Q:R,2,0),"")</f>
        <v/>
      </c>
    </row>
    <row r="359" spans="1:15" ht="15.75" customHeight="1" x14ac:dyDescent="0.25">
      <c r="A359" s="1" t="s">
        <v>1050</v>
      </c>
      <c r="B359" s="1" t="s">
        <v>38</v>
      </c>
      <c r="C359" s="1" t="s">
        <v>16</v>
      </c>
      <c r="D359" s="2" t="s">
        <v>777</v>
      </c>
      <c r="E359" s="1" t="s">
        <v>992</v>
      </c>
      <c r="F359" s="1" t="s">
        <v>20</v>
      </c>
      <c r="G359" s="1" t="s">
        <v>28</v>
      </c>
      <c r="H359" s="1" t="s">
        <v>1051</v>
      </c>
      <c r="I359" s="1" t="s">
        <v>16</v>
      </c>
      <c r="J359" s="1" t="s">
        <v>57</v>
      </c>
      <c r="K359" s="10">
        <v>700</v>
      </c>
      <c r="L359" s="1" t="s">
        <v>23</v>
      </c>
      <c r="M359" s="1" t="s">
        <v>58</v>
      </c>
      <c r="N359" s="7" t="str">
        <f>IFERROR(VLOOKUP(#REF!,'2. Buzzi Admin Only'!N:O,2,0),"")</f>
        <v/>
      </c>
      <c r="O359" s="6" t="str">
        <f>IFERROR(VLOOKUP(K359,'2. Buzzi Admin Only'!Q:R,2,0),"")</f>
        <v>Power Generation (Turbines, Boilers)</v>
      </c>
    </row>
    <row r="360" spans="1:15" ht="15.75" customHeight="1" x14ac:dyDescent="0.25">
      <c r="A360" s="1" t="s">
        <v>1052</v>
      </c>
      <c r="B360" s="1" t="s">
        <v>16</v>
      </c>
      <c r="C360" s="1" t="s">
        <v>16</v>
      </c>
      <c r="D360" s="2" t="s">
        <v>1053</v>
      </c>
      <c r="E360" s="1" t="s">
        <v>1054</v>
      </c>
      <c r="F360" s="1" t="s">
        <v>20</v>
      </c>
      <c r="G360" s="1" t="s">
        <v>21</v>
      </c>
      <c r="H360" s="1" t="s">
        <v>1055</v>
      </c>
      <c r="I360" s="1" t="s">
        <v>16</v>
      </c>
      <c r="J360" s="1" t="s">
        <v>16</v>
      </c>
      <c r="K360" s="4" t="s">
        <v>16</v>
      </c>
      <c r="L360" s="1" t="s">
        <v>23</v>
      </c>
      <c r="M360" s="1" t="s">
        <v>42</v>
      </c>
      <c r="N360" s="7" t="str">
        <f>IFERROR(VLOOKUP(#REF!,'2. Buzzi Admin Only'!N:O,2,0),"")</f>
        <v/>
      </c>
      <c r="O360" s="6" t="str">
        <f>IFERROR(VLOOKUP(K360,'2. Buzzi Admin Only'!Q:R,2,0),"")</f>
        <v/>
      </c>
    </row>
    <row r="361" spans="1:15" ht="15.75" customHeight="1" x14ac:dyDescent="0.25">
      <c r="A361" s="1" t="s">
        <v>1056</v>
      </c>
      <c r="B361" s="1" t="s">
        <v>16</v>
      </c>
      <c r="C361" s="1" t="s">
        <v>16</v>
      </c>
      <c r="D361" s="2" t="s">
        <v>16</v>
      </c>
      <c r="E361" s="1" t="s">
        <v>40</v>
      </c>
      <c r="F361" s="1" t="s">
        <v>141</v>
      </c>
      <c r="G361" s="1" t="s">
        <v>152</v>
      </c>
      <c r="H361" s="1" t="s">
        <v>1057</v>
      </c>
      <c r="I361" s="1" t="s">
        <v>16</v>
      </c>
      <c r="J361" s="1" t="s">
        <v>16</v>
      </c>
      <c r="K361" s="4" t="s">
        <v>16</v>
      </c>
      <c r="L361" s="1" t="s">
        <v>23</v>
      </c>
      <c r="M361" s="1" t="s">
        <v>16</v>
      </c>
      <c r="N361" s="7" t="str">
        <f>IFERROR(VLOOKUP(#REF!,'2. Buzzi Admin Only'!N:O,2,0),"")</f>
        <v/>
      </c>
      <c r="O361" s="6" t="str">
        <f>IFERROR(VLOOKUP(K361,'2. Buzzi Admin Only'!Q:R,2,0),"")</f>
        <v/>
      </c>
    </row>
    <row r="362" spans="1:15" ht="15.75" customHeight="1" x14ac:dyDescent="0.25">
      <c r="A362" s="1" t="s">
        <v>1058</v>
      </c>
      <c r="B362" s="1" t="s">
        <v>138</v>
      </c>
      <c r="C362" s="1" t="s">
        <v>16</v>
      </c>
      <c r="D362" s="2" t="s">
        <v>77</v>
      </c>
      <c r="E362" s="1" t="s">
        <v>40</v>
      </c>
      <c r="F362" s="1" t="s">
        <v>20</v>
      </c>
      <c r="G362" s="1" t="s">
        <v>44</v>
      </c>
      <c r="H362" s="1" t="s">
        <v>1059</v>
      </c>
      <c r="I362" s="1" t="s">
        <v>16</v>
      </c>
      <c r="J362" s="1" t="s">
        <v>57</v>
      </c>
      <c r="K362" s="4" t="s">
        <v>16</v>
      </c>
      <c r="L362" s="1" t="s">
        <v>23</v>
      </c>
      <c r="M362" s="1" t="s">
        <v>1060</v>
      </c>
      <c r="N362" s="7" t="str">
        <f>IFERROR(VLOOKUP(#REF!,'2. Buzzi Admin Only'!N:O,2,0),"")</f>
        <v/>
      </c>
      <c r="O362" s="6" t="str">
        <f>IFERROR(VLOOKUP(K362,'2. Buzzi Admin Only'!Q:R,2,0),"")</f>
        <v/>
      </c>
    </row>
    <row r="363" spans="1:15" ht="15.75" customHeight="1" x14ac:dyDescent="0.25">
      <c r="A363" s="1" t="s">
        <v>1061</v>
      </c>
      <c r="B363" s="1" t="s">
        <v>38</v>
      </c>
      <c r="C363" s="1" t="s">
        <v>16</v>
      </c>
      <c r="D363" s="2" t="s">
        <v>1062</v>
      </c>
      <c r="E363" s="1" t="s">
        <v>1063</v>
      </c>
      <c r="F363" s="1" t="s">
        <v>20</v>
      </c>
      <c r="G363" s="1" t="s">
        <v>28</v>
      </c>
      <c r="H363" s="1" t="s">
        <v>1064</v>
      </c>
      <c r="I363" s="1" t="s">
        <v>16</v>
      </c>
      <c r="J363" s="1" t="s">
        <v>57</v>
      </c>
      <c r="K363" s="4" t="s">
        <v>16</v>
      </c>
      <c r="L363" s="1" t="s">
        <v>23</v>
      </c>
      <c r="M363" s="1" t="s">
        <v>58</v>
      </c>
      <c r="N363" s="7" t="str">
        <f>IFERROR(VLOOKUP(#REF!,'2. Buzzi Admin Only'!N:O,2,0),"")</f>
        <v/>
      </c>
      <c r="O363" s="6" t="str">
        <f>IFERROR(VLOOKUP(K363,'2. Buzzi Admin Only'!Q:R,2,0),"")</f>
        <v/>
      </c>
    </row>
    <row r="364" spans="1:15" ht="15.75" customHeight="1" x14ac:dyDescent="0.25">
      <c r="A364" s="1" t="s">
        <v>1065</v>
      </c>
      <c r="B364" s="1" t="s">
        <v>138</v>
      </c>
      <c r="C364" s="1" t="s">
        <v>16</v>
      </c>
      <c r="D364" s="2" t="s">
        <v>661</v>
      </c>
      <c r="E364" s="1" t="s">
        <v>1066</v>
      </c>
      <c r="F364" s="1" t="s">
        <v>20</v>
      </c>
      <c r="G364" s="1" t="s">
        <v>28</v>
      </c>
      <c r="H364" s="1" t="s">
        <v>16</v>
      </c>
      <c r="I364" s="1" t="s">
        <v>16</v>
      </c>
      <c r="J364" s="1" t="s">
        <v>57</v>
      </c>
      <c r="K364" s="4" t="s">
        <v>16</v>
      </c>
      <c r="L364" s="1" t="s">
        <v>23</v>
      </c>
      <c r="M364" s="1" t="s">
        <v>58</v>
      </c>
      <c r="N364" s="7" t="str">
        <f>IFERROR(VLOOKUP(#REF!,'2. Buzzi Admin Only'!N:O,2,0),"")</f>
        <v/>
      </c>
      <c r="O364" s="6" t="str">
        <f>IFERROR(VLOOKUP(K364,'2. Buzzi Admin Only'!Q:R,2,0),"")</f>
        <v/>
      </c>
    </row>
    <row r="365" spans="1:15" ht="15.75" customHeight="1" x14ac:dyDescent="0.25">
      <c r="A365" s="1" t="s">
        <v>1067</v>
      </c>
      <c r="B365" s="1" t="s">
        <v>16</v>
      </c>
      <c r="C365" s="1" t="s">
        <v>16</v>
      </c>
      <c r="D365" s="2" t="s">
        <v>1068</v>
      </c>
      <c r="E365" s="1" t="s">
        <v>40</v>
      </c>
      <c r="F365" s="1" t="s">
        <v>20</v>
      </c>
      <c r="G365" s="1" t="s">
        <v>28</v>
      </c>
      <c r="H365" s="1" t="s">
        <v>16</v>
      </c>
      <c r="I365" s="1" t="s">
        <v>16</v>
      </c>
      <c r="J365" s="1" t="s">
        <v>16</v>
      </c>
      <c r="K365" s="4" t="s">
        <v>16</v>
      </c>
      <c r="L365" s="1" t="s">
        <v>71</v>
      </c>
      <c r="M365" s="1" t="s">
        <v>16</v>
      </c>
      <c r="N365" s="7" t="str">
        <f>IFERROR(VLOOKUP(#REF!,'2. Buzzi Admin Only'!N:O,2,0),"")</f>
        <v/>
      </c>
      <c r="O365" s="6" t="str">
        <f>IFERROR(VLOOKUP(K365,'2. Buzzi Admin Only'!Q:R,2,0),"")</f>
        <v/>
      </c>
    </row>
    <row r="366" spans="1:15" ht="15.75" customHeight="1" x14ac:dyDescent="0.25">
      <c r="A366" s="1" t="s">
        <v>1069</v>
      </c>
      <c r="B366" s="1" t="s">
        <v>138</v>
      </c>
      <c r="C366" s="1" t="s">
        <v>765</v>
      </c>
      <c r="D366" s="2" t="s">
        <v>1070</v>
      </c>
      <c r="E366" s="1" t="s">
        <v>1071</v>
      </c>
      <c r="F366" s="1" t="s">
        <v>20</v>
      </c>
      <c r="G366" s="1" t="s">
        <v>21</v>
      </c>
      <c r="H366" s="1" t="s">
        <v>1072</v>
      </c>
      <c r="I366" s="1" t="s">
        <v>16</v>
      </c>
      <c r="J366" s="1" t="s">
        <v>16</v>
      </c>
      <c r="K366" s="4" t="s">
        <v>16</v>
      </c>
      <c r="L366" s="1" t="s">
        <v>23</v>
      </c>
      <c r="M366" s="1" t="s">
        <v>58</v>
      </c>
      <c r="N366" s="7" t="str">
        <f>IFERROR(VLOOKUP(#REF!,'2. Buzzi Admin Only'!N:O,2,0),"")</f>
        <v/>
      </c>
      <c r="O366" s="6" t="str">
        <f>IFERROR(VLOOKUP(K366,'2. Buzzi Admin Only'!Q:R,2,0),"")</f>
        <v/>
      </c>
    </row>
    <row r="367" spans="1:15" ht="15.75" customHeight="1" x14ac:dyDescent="0.25">
      <c r="A367" s="1" t="s">
        <v>1073</v>
      </c>
      <c r="B367" s="1" t="s">
        <v>16</v>
      </c>
      <c r="C367" s="1" t="s">
        <v>16</v>
      </c>
      <c r="D367" s="2" t="s">
        <v>16</v>
      </c>
      <c r="E367" s="1" t="s">
        <v>40</v>
      </c>
      <c r="F367" s="1" t="s">
        <v>16</v>
      </c>
      <c r="G367" s="1" t="s">
        <v>16</v>
      </c>
      <c r="H367" s="1" t="s">
        <v>16</v>
      </c>
      <c r="I367" s="1" t="s">
        <v>16</v>
      </c>
      <c r="J367" s="1" t="s">
        <v>16</v>
      </c>
      <c r="K367" s="4" t="s">
        <v>16</v>
      </c>
      <c r="L367" s="1" t="s">
        <v>71</v>
      </c>
      <c r="M367" s="1" t="s">
        <v>16</v>
      </c>
      <c r="N367" s="7" t="str">
        <f>IFERROR(VLOOKUP(#REF!,'2. Buzzi Admin Only'!N:O,2,0),"")</f>
        <v/>
      </c>
      <c r="O367" s="6" t="str">
        <f>IFERROR(VLOOKUP(K367,'2. Buzzi Admin Only'!Q:R,2,0),"")</f>
        <v/>
      </c>
    </row>
    <row r="368" spans="1:15" ht="15.75" customHeight="1" x14ac:dyDescent="0.25">
      <c r="A368" s="1" t="s">
        <v>1074</v>
      </c>
      <c r="B368" s="1" t="s">
        <v>16</v>
      </c>
      <c r="C368" s="1" t="s">
        <v>16</v>
      </c>
      <c r="D368" s="2" t="s">
        <v>16</v>
      </c>
      <c r="E368" s="1" t="s">
        <v>40</v>
      </c>
      <c r="F368" s="1" t="s">
        <v>16</v>
      </c>
      <c r="G368" s="1" t="s">
        <v>16</v>
      </c>
      <c r="H368" s="1" t="s">
        <v>16</v>
      </c>
      <c r="I368" s="1" t="s">
        <v>16</v>
      </c>
      <c r="J368" s="1" t="s">
        <v>16</v>
      </c>
      <c r="K368" s="4" t="s">
        <v>16</v>
      </c>
      <c r="L368" s="1" t="s">
        <v>71</v>
      </c>
      <c r="M368" s="1" t="s">
        <v>16</v>
      </c>
      <c r="N368" s="7" t="str">
        <f>IFERROR(VLOOKUP(#REF!,'2. Buzzi Admin Only'!N:O,2,0),"")</f>
        <v/>
      </c>
      <c r="O368" s="6" t="str">
        <f>IFERROR(VLOOKUP(K368,'2. Buzzi Admin Only'!Q:R,2,0),"")</f>
        <v/>
      </c>
    </row>
    <row r="369" spans="1:15" ht="15.75" customHeight="1" x14ac:dyDescent="0.25">
      <c r="A369" s="1" t="s">
        <v>1075</v>
      </c>
      <c r="B369" s="1" t="s">
        <v>138</v>
      </c>
      <c r="C369" s="1" t="s">
        <v>16</v>
      </c>
      <c r="D369" s="2" t="s">
        <v>1076</v>
      </c>
      <c r="E369" s="1" t="s">
        <v>1077</v>
      </c>
      <c r="F369" s="1" t="s">
        <v>20</v>
      </c>
      <c r="G369" s="1" t="s">
        <v>44</v>
      </c>
      <c r="H369" s="1" t="s">
        <v>16</v>
      </c>
      <c r="I369" s="1" t="s">
        <v>16</v>
      </c>
      <c r="J369" s="1" t="s">
        <v>57</v>
      </c>
      <c r="K369" s="4" t="s">
        <v>16</v>
      </c>
      <c r="L369" s="1" t="s">
        <v>23</v>
      </c>
      <c r="M369" s="1" t="s">
        <v>58</v>
      </c>
      <c r="N369" s="7" t="str">
        <f>IFERROR(VLOOKUP(#REF!,'2. Buzzi Admin Only'!N:O,2,0),"")</f>
        <v/>
      </c>
      <c r="O369" s="6" t="str">
        <f>IFERROR(VLOOKUP(K369,'2. Buzzi Admin Only'!Q:R,2,0),"")</f>
        <v/>
      </c>
    </row>
    <row r="370" spans="1:15" ht="15.75" customHeight="1" x14ac:dyDescent="0.25">
      <c r="A370" s="1" t="s">
        <v>1078</v>
      </c>
      <c r="B370" s="1" t="s">
        <v>38</v>
      </c>
      <c r="C370" s="1" t="s">
        <v>44</v>
      </c>
      <c r="D370" s="2" t="s">
        <v>281</v>
      </c>
      <c r="E370" s="1" t="s">
        <v>1079</v>
      </c>
      <c r="F370" s="1" t="s">
        <v>20</v>
      </c>
      <c r="G370" s="1" t="s">
        <v>21</v>
      </c>
      <c r="H370" s="1" t="s">
        <v>16</v>
      </c>
      <c r="I370" s="1" t="s">
        <v>16</v>
      </c>
      <c r="J370" s="1" t="s">
        <v>16</v>
      </c>
      <c r="K370" s="4" t="s">
        <v>16</v>
      </c>
      <c r="L370" s="1" t="s">
        <v>23</v>
      </c>
      <c r="M370" s="1" t="s">
        <v>58</v>
      </c>
      <c r="N370" s="7" t="str">
        <f>IFERROR(VLOOKUP(#REF!,'2. Buzzi Admin Only'!N:O,2,0),"")</f>
        <v/>
      </c>
      <c r="O370" s="6" t="str">
        <f>IFERROR(VLOOKUP(K370,'2. Buzzi Admin Only'!Q:R,2,0),"")</f>
        <v/>
      </c>
    </row>
    <row r="371" spans="1:15" ht="15.75" customHeight="1" x14ac:dyDescent="0.25">
      <c r="A371" s="1" t="s">
        <v>1080</v>
      </c>
      <c r="B371" s="1" t="s">
        <v>16</v>
      </c>
      <c r="C371" s="1" t="s">
        <v>16</v>
      </c>
      <c r="D371" s="2" t="s">
        <v>16</v>
      </c>
      <c r="E371" s="1" t="s">
        <v>40</v>
      </c>
      <c r="F371" s="1" t="s">
        <v>20</v>
      </c>
      <c r="G371" s="1" t="s">
        <v>44</v>
      </c>
      <c r="H371" s="1" t="s">
        <v>16</v>
      </c>
      <c r="I371" s="1" t="s">
        <v>16</v>
      </c>
      <c r="J371" s="1" t="s">
        <v>16</v>
      </c>
      <c r="K371" s="4" t="s">
        <v>16</v>
      </c>
      <c r="L371" s="1" t="s">
        <v>23</v>
      </c>
      <c r="M371" s="1" t="s">
        <v>16</v>
      </c>
      <c r="N371" s="7" t="str">
        <f>IFERROR(VLOOKUP(#REF!,'2. Buzzi Admin Only'!N:O,2,0),"")</f>
        <v/>
      </c>
      <c r="O371" s="6" t="str">
        <f>IFERROR(VLOOKUP(K371,'2. Buzzi Admin Only'!Q:R,2,0),"")</f>
        <v/>
      </c>
    </row>
    <row r="372" spans="1:15" ht="15.75" customHeight="1" x14ac:dyDescent="0.25">
      <c r="A372" s="1" t="s">
        <v>1081</v>
      </c>
      <c r="B372" s="1" t="s">
        <v>16</v>
      </c>
      <c r="C372" s="1" t="s">
        <v>16</v>
      </c>
      <c r="D372" s="2" t="s">
        <v>16</v>
      </c>
      <c r="E372" s="1" t="s">
        <v>1082</v>
      </c>
      <c r="F372" s="1" t="s">
        <v>20</v>
      </c>
      <c r="G372" s="1" t="s">
        <v>28</v>
      </c>
      <c r="H372" s="1" t="s">
        <v>1083</v>
      </c>
      <c r="I372" s="1" t="s">
        <v>16</v>
      </c>
      <c r="J372" s="1" t="s">
        <v>16</v>
      </c>
      <c r="K372" s="4" t="s">
        <v>16</v>
      </c>
      <c r="L372" s="1" t="s">
        <v>23</v>
      </c>
      <c r="M372" s="1" t="s">
        <v>16</v>
      </c>
      <c r="N372" s="7" t="str">
        <f>IFERROR(VLOOKUP(#REF!,'2. Buzzi Admin Only'!N:O,2,0),"")</f>
        <v/>
      </c>
      <c r="O372" s="6" t="str">
        <f>IFERROR(VLOOKUP(K372,'2. Buzzi Admin Only'!Q:R,2,0),"")</f>
        <v/>
      </c>
    </row>
    <row r="373" spans="1:15" ht="15.75" customHeight="1" x14ac:dyDescent="0.25">
      <c r="A373" s="1" t="s">
        <v>1084</v>
      </c>
      <c r="B373" s="1" t="s">
        <v>138</v>
      </c>
      <c r="C373" s="1" t="s">
        <v>16</v>
      </c>
      <c r="D373" s="2" t="s">
        <v>746</v>
      </c>
      <c r="E373" s="1" t="s">
        <v>1085</v>
      </c>
      <c r="F373" s="1" t="s">
        <v>20</v>
      </c>
      <c r="G373" s="1" t="s">
        <v>44</v>
      </c>
      <c r="H373" s="1" t="s">
        <v>1086</v>
      </c>
      <c r="I373" s="1" t="s">
        <v>16</v>
      </c>
      <c r="J373" s="1" t="s">
        <v>57</v>
      </c>
      <c r="K373" s="4" t="s">
        <v>16</v>
      </c>
      <c r="L373" s="1" t="s">
        <v>23</v>
      </c>
      <c r="M373" s="1" t="s">
        <v>30</v>
      </c>
      <c r="N373" s="7" t="str">
        <f>IFERROR(VLOOKUP(#REF!,'2. Buzzi Admin Only'!N:O,2,0),"")</f>
        <v/>
      </c>
      <c r="O373" s="6" t="str">
        <f>IFERROR(VLOOKUP(K373,'2. Buzzi Admin Only'!Q:R,2,0),"")</f>
        <v/>
      </c>
    </row>
    <row r="374" spans="1:15" ht="15.75" customHeight="1" x14ac:dyDescent="0.25">
      <c r="A374" s="1" t="s">
        <v>1087</v>
      </c>
      <c r="B374" s="1" t="s">
        <v>16</v>
      </c>
      <c r="C374" s="1" t="s">
        <v>16</v>
      </c>
      <c r="D374" s="2" t="s">
        <v>16</v>
      </c>
      <c r="E374" s="1" t="s">
        <v>40</v>
      </c>
      <c r="F374" s="1" t="s">
        <v>16</v>
      </c>
      <c r="G374" s="1" t="s">
        <v>16</v>
      </c>
      <c r="H374" s="1" t="s">
        <v>16</v>
      </c>
      <c r="I374" s="1" t="s">
        <v>16</v>
      </c>
      <c r="J374" s="1" t="s">
        <v>16</v>
      </c>
      <c r="K374" s="4" t="s">
        <v>16</v>
      </c>
      <c r="L374" s="1" t="s">
        <v>71</v>
      </c>
      <c r="M374" s="1" t="s">
        <v>16</v>
      </c>
      <c r="N374" s="7" t="str">
        <f>IFERROR(VLOOKUP(#REF!,'2. Buzzi Admin Only'!N:O,2,0),"")</f>
        <v/>
      </c>
      <c r="O374" s="6" t="str">
        <f>IFERROR(VLOOKUP(K374,'2. Buzzi Admin Only'!Q:R,2,0),"")</f>
        <v/>
      </c>
    </row>
    <row r="375" spans="1:15" ht="15.75" customHeight="1" x14ac:dyDescent="0.25">
      <c r="A375" s="1" t="s">
        <v>1088</v>
      </c>
      <c r="B375" s="1" t="s">
        <v>138</v>
      </c>
      <c r="C375" s="1" t="s">
        <v>16</v>
      </c>
      <c r="D375" s="2" t="s">
        <v>968</v>
      </c>
      <c r="E375" s="1" t="s">
        <v>1089</v>
      </c>
      <c r="F375" s="1" t="s">
        <v>20</v>
      </c>
      <c r="G375" s="1" t="s">
        <v>28</v>
      </c>
      <c r="H375" s="1" t="s">
        <v>1090</v>
      </c>
      <c r="I375" s="1" t="s">
        <v>16</v>
      </c>
      <c r="J375" s="1" t="s">
        <v>57</v>
      </c>
      <c r="K375" s="4" t="s">
        <v>16</v>
      </c>
      <c r="L375" s="1" t="s">
        <v>23</v>
      </c>
      <c r="M375" s="1" t="s">
        <v>58</v>
      </c>
      <c r="N375" s="7" t="str">
        <f>IFERROR(VLOOKUP(#REF!,'2. Buzzi Admin Only'!N:O,2,0),"")</f>
        <v/>
      </c>
      <c r="O375" s="6" t="str">
        <f>IFERROR(VLOOKUP(K375,'2. Buzzi Admin Only'!Q:R,2,0),"")</f>
        <v/>
      </c>
    </row>
    <row r="376" spans="1:15" ht="15.75" customHeight="1" x14ac:dyDescent="0.25">
      <c r="A376" s="1" t="s">
        <v>1091</v>
      </c>
      <c r="B376" s="1" t="s">
        <v>16</v>
      </c>
      <c r="C376" s="1" t="s">
        <v>16</v>
      </c>
      <c r="D376" s="2" t="s">
        <v>16</v>
      </c>
      <c r="E376" s="1" t="s">
        <v>40</v>
      </c>
      <c r="F376" s="1" t="s">
        <v>16</v>
      </c>
      <c r="G376" s="1" t="s">
        <v>16</v>
      </c>
      <c r="H376" s="1" t="s">
        <v>16</v>
      </c>
      <c r="I376" s="1" t="s">
        <v>16</v>
      </c>
      <c r="J376" s="1" t="s">
        <v>16</v>
      </c>
      <c r="K376" s="4" t="s">
        <v>16</v>
      </c>
      <c r="L376" s="1" t="s">
        <v>71</v>
      </c>
      <c r="M376" s="1" t="s">
        <v>16</v>
      </c>
      <c r="N376" s="7" t="str">
        <f>IFERROR(VLOOKUP(#REF!,'2. Buzzi Admin Only'!N:O,2,0),"")</f>
        <v/>
      </c>
      <c r="O376" s="6" t="str">
        <f>IFERROR(VLOOKUP(K376,'2. Buzzi Admin Only'!Q:R,2,0),"")</f>
        <v/>
      </c>
    </row>
    <row r="377" spans="1:15" ht="15.75" customHeight="1" x14ac:dyDescent="0.25">
      <c r="A377" s="1" t="s">
        <v>1092</v>
      </c>
      <c r="B377" s="1" t="s">
        <v>16</v>
      </c>
      <c r="C377" s="1" t="s">
        <v>16</v>
      </c>
      <c r="D377" s="2" t="s">
        <v>1093</v>
      </c>
      <c r="E377" s="1" t="s">
        <v>1094</v>
      </c>
      <c r="F377" s="1" t="s">
        <v>20</v>
      </c>
      <c r="G377" s="1" t="s">
        <v>21</v>
      </c>
      <c r="H377" s="1" t="s">
        <v>1095</v>
      </c>
      <c r="I377" s="1" t="s">
        <v>16</v>
      </c>
      <c r="J377" s="1" t="s">
        <v>16</v>
      </c>
      <c r="K377" s="4" t="s">
        <v>16</v>
      </c>
      <c r="L377" s="1" t="s">
        <v>23</v>
      </c>
      <c r="M377" s="1" t="s">
        <v>52</v>
      </c>
      <c r="N377" s="7" t="str">
        <f>IFERROR(VLOOKUP(#REF!,'2. Buzzi Admin Only'!N:O,2,0),"")</f>
        <v/>
      </c>
      <c r="O377" s="6" t="str">
        <f>IFERROR(VLOOKUP(K377,'2. Buzzi Admin Only'!Q:R,2,0),"")</f>
        <v/>
      </c>
    </row>
    <row r="378" spans="1:15" ht="15.75" customHeight="1" x14ac:dyDescent="0.25">
      <c r="A378" s="1" t="s">
        <v>1096</v>
      </c>
      <c r="B378" s="1" t="s">
        <v>38</v>
      </c>
      <c r="C378" s="1" t="s">
        <v>16</v>
      </c>
      <c r="D378" s="2" t="s">
        <v>1097</v>
      </c>
      <c r="E378" s="1" t="s">
        <v>831</v>
      </c>
      <c r="F378" s="1" t="s">
        <v>20</v>
      </c>
      <c r="G378" s="1" t="s">
        <v>28</v>
      </c>
      <c r="H378" s="1" t="s">
        <v>1098</v>
      </c>
      <c r="I378" s="1" t="s">
        <v>16</v>
      </c>
      <c r="J378" s="1" t="s">
        <v>57</v>
      </c>
      <c r="K378" s="4" t="s">
        <v>16</v>
      </c>
      <c r="L378" s="1" t="s">
        <v>23</v>
      </c>
      <c r="M378" s="1" t="s">
        <v>58</v>
      </c>
      <c r="N378" s="7" t="str">
        <f>IFERROR(VLOOKUP(#REF!,'2. Buzzi Admin Only'!N:O,2,0),"")</f>
        <v/>
      </c>
      <c r="O378" s="6" t="str">
        <f>IFERROR(VLOOKUP(K378,'2. Buzzi Admin Only'!Q:R,2,0),"")</f>
        <v/>
      </c>
    </row>
    <row r="379" spans="1:15" ht="15.75" customHeight="1" x14ac:dyDescent="0.25">
      <c r="A379" s="1" t="s">
        <v>1099</v>
      </c>
      <c r="B379" s="1" t="s">
        <v>16</v>
      </c>
      <c r="C379" s="1" t="s">
        <v>60</v>
      </c>
      <c r="D379" s="2" t="s">
        <v>1100</v>
      </c>
      <c r="E379" s="1" t="s">
        <v>40</v>
      </c>
      <c r="F379" s="1" t="s">
        <v>20</v>
      </c>
      <c r="G379" s="1" t="s">
        <v>44</v>
      </c>
      <c r="H379" s="1" t="s">
        <v>16</v>
      </c>
      <c r="I379" s="1" t="s">
        <v>16</v>
      </c>
      <c r="J379" s="1" t="s">
        <v>16</v>
      </c>
      <c r="K379" s="4" t="s">
        <v>16</v>
      </c>
      <c r="L379" s="1" t="s">
        <v>23</v>
      </c>
      <c r="M379" s="1" t="s">
        <v>52</v>
      </c>
      <c r="N379" s="7" t="str">
        <f>IFERROR(VLOOKUP(#REF!,'2. Buzzi Admin Only'!N:O,2,0),"")</f>
        <v/>
      </c>
      <c r="O379" s="6" t="str">
        <f>IFERROR(VLOOKUP(K379,'2. Buzzi Admin Only'!Q:R,2,0),"")</f>
        <v/>
      </c>
    </row>
    <row r="380" spans="1:15" ht="15.75" customHeight="1" x14ac:dyDescent="0.25">
      <c r="A380" s="1" t="s">
        <v>1101</v>
      </c>
      <c r="B380" s="1" t="s">
        <v>138</v>
      </c>
      <c r="C380" s="1" t="s">
        <v>16</v>
      </c>
      <c r="D380" s="2" t="s">
        <v>77</v>
      </c>
      <c r="E380" s="1" t="s">
        <v>1102</v>
      </c>
      <c r="F380" s="1" t="s">
        <v>20</v>
      </c>
      <c r="G380" s="1" t="s">
        <v>21</v>
      </c>
      <c r="H380" s="1" t="s">
        <v>1103</v>
      </c>
      <c r="I380" s="1" t="s">
        <v>16</v>
      </c>
      <c r="J380" s="1" t="s">
        <v>57</v>
      </c>
      <c r="K380" s="10">
        <v>700</v>
      </c>
      <c r="L380" s="1" t="s">
        <v>23</v>
      </c>
      <c r="M380" s="1" t="s">
        <v>58</v>
      </c>
      <c r="N380" s="7" t="str">
        <f>IFERROR(VLOOKUP(#REF!,'2. Buzzi Admin Only'!N:O,2,0),"")</f>
        <v/>
      </c>
      <c r="O380" s="6" t="str">
        <f>IFERROR(VLOOKUP(K380,'2. Buzzi Admin Only'!Q:R,2,0),"")</f>
        <v>Power Generation (Turbines, Boilers)</v>
      </c>
    </row>
    <row r="381" spans="1:15" ht="15.75" customHeight="1" x14ac:dyDescent="0.25">
      <c r="A381" s="1" t="s">
        <v>1104</v>
      </c>
      <c r="B381" s="1" t="s">
        <v>16</v>
      </c>
      <c r="C381" s="1" t="s">
        <v>16</v>
      </c>
      <c r="D381" s="2" t="s">
        <v>16</v>
      </c>
      <c r="E381" s="1" t="s">
        <v>1105</v>
      </c>
      <c r="F381" s="1" t="s">
        <v>20</v>
      </c>
      <c r="G381" s="1" t="s">
        <v>21</v>
      </c>
      <c r="H381" s="1" t="s">
        <v>1106</v>
      </c>
      <c r="I381" s="1" t="s">
        <v>16</v>
      </c>
      <c r="J381" s="1" t="s">
        <v>16</v>
      </c>
      <c r="K381" s="4" t="s">
        <v>16</v>
      </c>
      <c r="L381" s="1" t="s">
        <v>23</v>
      </c>
      <c r="M381" s="1" t="s">
        <v>16</v>
      </c>
      <c r="N381" s="7" t="str">
        <f>IFERROR(VLOOKUP(#REF!,'2. Buzzi Admin Only'!N:O,2,0),"")</f>
        <v/>
      </c>
      <c r="O381" s="6" t="str">
        <f>IFERROR(VLOOKUP(K381,'2. Buzzi Admin Only'!Q:R,2,0),"")</f>
        <v/>
      </c>
    </row>
    <row r="382" spans="1:15" ht="15.75" customHeight="1" x14ac:dyDescent="0.25">
      <c r="A382" s="1" t="s">
        <v>1107</v>
      </c>
      <c r="B382" s="1" t="s">
        <v>138</v>
      </c>
      <c r="C382" s="1" t="s">
        <v>402</v>
      </c>
      <c r="D382" s="2" t="s">
        <v>1108</v>
      </c>
      <c r="E382" s="1" t="s">
        <v>795</v>
      </c>
      <c r="F382" s="1" t="s">
        <v>20</v>
      </c>
      <c r="G382" s="1" t="s">
        <v>21</v>
      </c>
      <c r="H382" s="1" t="s">
        <v>16</v>
      </c>
      <c r="I382" s="1" t="s">
        <v>16</v>
      </c>
      <c r="J382" s="1" t="s">
        <v>57</v>
      </c>
      <c r="K382" s="4" t="s">
        <v>16</v>
      </c>
      <c r="L382" s="1" t="s">
        <v>23</v>
      </c>
      <c r="M382" s="1" t="s">
        <v>58</v>
      </c>
      <c r="N382" s="7" t="str">
        <f>IFERROR(VLOOKUP(#REF!,'2. Buzzi Admin Only'!N:O,2,0),"")</f>
        <v/>
      </c>
      <c r="O382" s="6" t="str">
        <f>IFERROR(VLOOKUP(K382,'2. Buzzi Admin Only'!Q:R,2,0),"")</f>
        <v/>
      </c>
    </row>
    <row r="383" spans="1:15" ht="15.75" customHeight="1" x14ac:dyDescent="0.25">
      <c r="A383" s="1" t="s">
        <v>1109</v>
      </c>
      <c r="B383" s="1" t="s">
        <v>138</v>
      </c>
      <c r="C383" s="1" t="s">
        <v>60</v>
      </c>
      <c r="D383" s="2" t="s">
        <v>982</v>
      </c>
      <c r="E383" s="1" t="s">
        <v>1110</v>
      </c>
      <c r="F383" s="1" t="s">
        <v>20</v>
      </c>
      <c r="G383" s="1" t="s">
        <v>21</v>
      </c>
      <c r="H383" s="1" t="s">
        <v>1111</v>
      </c>
      <c r="I383" s="1" t="s">
        <v>16</v>
      </c>
      <c r="J383" s="1" t="s">
        <v>16</v>
      </c>
      <c r="K383" s="4" t="s">
        <v>16</v>
      </c>
      <c r="L383" s="1" t="s">
        <v>23</v>
      </c>
      <c r="M383" s="1" t="s">
        <v>58</v>
      </c>
      <c r="N383" s="7" t="str">
        <f>IFERROR(VLOOKUP(#REF!,'2. Buzzi Admin Only'!N:O,2,0),"")</f>
        <v/>
      </c>
      <c r="O383" s="6" t="str">
        <f>IFERROR(VLOOKUP(K383,'2. Buzzi Admin Only'!Q:R,2,0),"")</f>
        <v/>
      </c>
    </row>
    <row r="384" spans="1:15" ht="15.75" customHeight="1" x14ac:dyDescent="0.25">
      <c r="A384" s="1" t="s">
        <v>1112</v>
      </c>
      <c r="B384" s="1" t="s">
        <v>16</v>
      </c>
      <c r="C384" s="1" t="s">
        <v>16</v>
      </c>
      <c r="D384" s="2" t="s">
        <v>1113</v>
      </c>
      <c r="E384" s="1" t="s">
        <v>1114</v>
      </c>
      <c r="F384" s="1" t="s">
        <v>20</v>
      </c>
      <c r="G384" s="1" t="s">
        <v>21</v>
      </c>
      <c r="H384" s="1" t="s">
        <v>1115</v>
      </c>
      <c r="I384" s="1" t="s">
        <v>16</v>
      </c>
      <c r="J384" s="1" t="s">
        <v>57</v>
      </c>
      <c r="K384" s="4" t="s">
        <v>16</v>
      </c>
      <c r="L384" s="1" t="s">
        <v>23</v>
      </c>
      <c r="M384" s="1" t="s">
        <v>58</v>
      </c>
      <c r="N384" s="7" t="str">
        <f>IFERROR(VLOOKUP(#REF!,'2. Buzzi Admin Only'!N:O,2,0),"")</f>
        <v/>
      </c>
      <c r="O384" s="6" t="str">
        <f>IFERROR(VLOOKUP(K384,'2. Buzzi Admin Only'!Q:R,2,0),"")</f>
        <v/>
      </c>
    </row>
    <row r="385" spans="1:15" ht="15.75" customHeight="1" x14ac:dyDescent="0.25">
      <c r="A385" s="1" t="s">
        <v>1116</v>
      </c>
      <c r="B385" s="1" t="s">
        <v>16</v>
      </c>
      <c r="C385" s="1" t="s">
        <v>16</v>
      </c>
      <c r="D385" s="2" t="s">
        <v>1117</v>
      </c>
      <c r="E385" s="1" t="s">
        <v>40</v>
      </c>
      <c r="F385" s="1" t="s">
        <v>20</v>
      </c>
      <c r="G385" s="1" t="s">
        <v>21</v>
      </c>
      <c r="H385" s="1" t="s">
        <v>1118</v>
      </c>
      <c r="I385" s="1" t="s">
        <v>16</v>
      </c>
      <c r="J385" s="1" t="s">
        <v>16</v>
      </c>
      <c r="K385" s="4" t="s">
        <v>16</v>
      </c>
      <c r="L385" s="1" t="s">
        <v>23</v>
      </c>
      <c r="M385" s="1" t="s">
        <v>52</v>
      </c>
      <c r="N385" s="7" t="str">
        <f>IFERROR(VLOOKUP(#REF!,'2. Buzzi Admin Only'!N:O,2,0),"")</f>
        <v/>
      </c>
      <c r="O385" s="6" t="str">
        <f>IFERROR(VLOOKUP(K385,'2. Buzzi Admin Only'!Q:R,2,0),"")</f>
        <v/>
      </c>
    </row>
    <row r="386" spans="1:15" ht="15.75" customHeight="1" x14ac:dyDescent="0.25">
      <c r="A386" s="1" t="s">
        <v>1119</v>
      </c>
      <c r="B386" s="1" t="s">
        <v>16</v>
      </c>
      <c r="C386" s="1" t="s">
        <v>16</v>
      </c>
      <c r="D386" s="2" t="s">
        <v>16</v>
      </c>
      <c r="E386" s="1" t="s">
        <v>40</v>
      </c>
      <c r="F386" s="1" t="s">
        <v>20</v>
      </c>
      <c r="G386" s="1" t="s">
        <v>70</v>
      </c>
      <c r="H386" s="1" t="s">
        <v>16</v>
      </c>
      <c r="I386" s="1" t="s">
        <v>16</v>
      </c>
      <c r="J386" s="1" t="s">
        <v>16</v>
      </c>
      <c r="K386" s="4" t="s">
        <v>16</v>
      </c>
      <c r="L386" s="1" t="s">
        <v>71</v>
      </c>
      <c r="M386" s="1" t="s">
        <v>16</v>
      </c>
      <c r="N386" s="7" t="str">
        <f>IFERROR(VLOOKUP(#REF!,'2. Buzzi Admin Only'!N:O,2,0),"")</f>
        <v/>
      </c>
      <c r="O386" s="6" t="str">
        <f>IFERROR(VLOOKUP(K386,'2. Buzzi Admin Only'!Q:R,2,0),"")</f>
        <v/>
      </c>
    </row>
    <row r="387" spans="1:15" ht="15.75" customHeight="1" x14ac:dyDescent="0.25">
      <c r="A387" s="1" t="s">
        <v>1120</v>
      </c>
      <c r="B387" s="1" t="s">
        <v>16</v>
      </c>
      <c r="C387" s="1" t="s">
        <v>16</v>
      </c>
      <c r="D387" s="2" t="s">
        <v>1121</v>
      </c>
      <c r="E387" s="1" t="s">
        <v>778</v>
      </c>
      <c r="F387" s="1" t="s">
        <v>20</v>
      </c>
      <c r="G387" s="1" t="s">
        <v>225</v>
      </c>
      <c r="H387" s="1" t="s">
        <v>1122</v>
      </c>
      <c r="I387" s="1" t="s">
        <v>16</v>
      </c>
      <c r="J387" s="1" t="s">
        <v>16</v>
      </c>
      <c r="K387" s="4" t="s">
        <v>16</v>
      </c>
      <c r="L387" s="1" t="s">
        <v>23</v>
      </c>
      <c r="M387" s="1" t="s">
        <v>68</v>
      </c>
      <c r="N387" s="7" t="str">
        <f>IFERROR(VLOOKUP(#REF!,'2. Buzzi Admin Only'!N:O,2,0),"")</f>
        <v/>
      </c>
      <c r="O387" s="6" t="str">
        <f>IFERROR(VLOOKUP(K387,'2. Buzzi Admin Only'!Q:R,2,0),"")</f>
        <v/>
      </c>
    </row>
    <row r="388" spans="1:15" ht="15.75" customHeight="1" x14ac:dyDescent="0.25">
      <c r="A388" s="1" t="s">
        <v>1123</v>
      </c>
      <c r="B388" s="1" t="s">
        <v>16</v>
      </c>
      <c r="C388" s="1" t="s">
        <v>16</v>
      </c>
      <c r="D388" s="2" t="s">
        <v>16</v>
      </c>
      <c r="E388" s="1" t="s">
        <v>40</v>
      </c>
      <c r="F388" s="1" t="s">
        <v>20</v>
      </c>
      <c r="G388" s="1" t="s">
        <v>28</v>
      </c>
      <c r="H388" s="1" t="s">
        <v>1124</v>
      </c>
      <c r="I388" s="1" t="s">
        <v>16</v>
      </c>
      <c r="J388" s="1" t="s">
        <v>16</v>
      </c>
      <c r="K388" s="4" t="s">
        <v>16</v>
      </c>
      <c r="L388" s="1" t="s">
        <v>23</v>
      </c>
      <c r="M388" s="1" t="s">
        <v>16</v>
      </c>
      <c r="N388" s="7" t="str">
        <f>IFERROR(VLOOKUP(#REF!,'2. Buzzi Admin Only'!N:O,2,0),"")</f>
        <v/>
      </c>
      <c r="O388" s="6" t="str">
        <f>IFERROR(VLOOKUP(K388,'2. Buzzi Admin Only'!Q:R,2,0),"")</f>
        <v/>
      </c>
    </row>
    <row r="389" spans="1:15" ht="15.75" customHeight="1" x14ac:dyDescent="0.25">
      <c r="A389" s="1" t="s">
        <v>1125</v>
      </c>
      <c r="B389" s="1" t="s">
        <v>1126</v>
      </c>
      <c r="C389" s="1" t="s">
        <v>145</v>
      </c>
      <c r="D389" s="2" t="s">
        <v>1127</v>
      </c>
      <c r="E389" s="1" t="s">
        <v>1128</v>
      </c>
      <c r="F389" s="1" t="s">
        <v>20</v>
      </c>
      <c r="G389" s="1" t="s">
        <v>28</v>
      </c>
      <c r="H389" s="1" t="s">
        <v>16</v>
      </c>
      <c r="I389" s="1" t="s">
        <v>16</v>
      </c>
      <c r="J389" s="1" t="s">
        <v>16</v>
      </c>
      <c r="K389" s="4" t="s">
        <v>16</v>
      </c>
      <c r="L389" s="1" t="s">
        <v>23</v>
      </c>
      <c r="M389" s="1" t="s">
        <v>1129</v>
      </c>
      <c r="N389" s="7" t="str">
        <f>IFERROR(VLOOKUP(#REF!,'2. Buzzi Admin Only'!N:O,2,0),"")</f>
        <v/>
      </c>
      <c r="O389" s="6" t="str">
        <f>IFERROR(VLOOKUP(K389,'2. Buzzi Admin Only'!Q:R,2,0),"")</f>
        <v/>
      </c>
    </row>
    <row r="390" spans="1:15" ht="15.75" customHeight="1" x14ac:dyDescent="0.25">
      <c r="A390" s="1" t="s">
        <v>1130</v>
      </c>
      <c r="B390" s="1" t="s">
        <v>16</v>
      </c>
      <c r="C390" s="1" t="s">
        <v>16</v>
      </c>
      <c r="D390" s="2" t="s">
        <v>1131</v>
      </c>
      <c r="E390" s="1" t="s">
        <v>1132</v>
      </c>
      <c r="F390" s="1" t="s">
        <v>20</v>
      </c>
      <c r="G390" s="1" t="s">
        <v>28</v>
      </c>
      <c r="H390" s="1" t="s">
        <v>16</v>
      </c>
      <c r="I390" s="1" t="s">
        <v>16</v>
      </c>
      <c r="J390" s="1" t="s">
        <v>16</v>
      </c>
      <c r="K390" s="4" t="s">
        <v>16</v>
      </c>
      <c r="L390" s="1" t="s">
        <v>23</v>
      </c>
      <c r="M390" s="1" t="s">
        <v>16</v>
      </c>
      <c r="N390" s="7" t="str">
        <f>IFERROR(VLOOKUP(#REF!,'2. Buzzi Admin Only'!N:O,2,0),"")</f>
        <v/>
      </c>
      <c r="O390" s="6" t="str">
        <f>IFERROR(VLOOKUP(K390,'2. Buzzi Admin Only'!Q:R,2,0),"")</f>
        <v/>
      </c>
    </row>
    <row r="391" spans="1:15" ht="15.75" customHeight="1" x14ac:dyDescent="0.25">
      <c r="A391" s="1" t="s">
        <v>1133</v>
      </c>
      <c r="B391" s="1" t="s">
        <v>16</v>
      </c>
      <c r="C391" s="1" t="s">
        <v>16</v>
      </c>
      <c r="D391" s="2" t="s">
        <v>226</v>
      </c>
      <c r="E391" s="1" t="s">
        <v>40</v>
      </c>
      <c r="F391" s="1" t="s">
        <v>20</v>
      </c>
      <c r="G391" s="1" t="s">
        <v>21</v>
      </c>
      <c r="H391" s="1" t="s">
        <v>16</v>
      </c>
      <c r="I391" s="1" t="s">
        <v>16</v>
      </c>
      <c r="J391" s="1" t="s">
        <v>16</v>
      </c>
      <c r="K391" s="4" t="s">
        <v>16</v>
      </c>
      <c r="L391" s="1" t="s">
        <v>23</v>
      </c>
      <c r="M391" s="1" t="s">
        <v>52</v>
      </c>
      <c r="N391" s="7" t="str">
        <f>IFERROR(VLOOKUP(#REF!,'2. Buzzi Admin Only'!N:O,2,0),"")</f>
        <v/>
      </c>
      <c r="O391" s="6" t="str">
        <f>IFERROR(VLOOKUP(K391,'2. Buzzi Admin Only'!Q:R,2,0),"")</f>
        <v/>
      </c>
    </row>
    <row r="392" spans="1:15" ht="15.75" customHeight="1" x14ac:dyDescent="0.25">
      <c r="A392" s="1" t="s">
        <v>1134</v>
      </c>
      <c r="B392" s="1" t="s">
        <v>138</v>
      </c>
      <c r="C392" s="1" t="s">
        <v>16</v>
      </c>
      <c r="D392" s="2" t="s">
        <v>1135</v>
      </c>
      <c r="E392" s="1" t="s">
        <v>1136</v>
      </c>
      <c r="F392" s="1" t="s">
        <v>141</v>
      </c>
      <c r="G392" s="1" t="s">
        <v>152</v>
      </c>
      <c r="H392" s="1" t="s">
        <v>1137</v>
      </c>
      <c r="I392" s="1" t="s">
        <v>16</v>
      </c>
      <c r="J392" s="1" t="s">
        <v>16</v>
      </c>
      <c r="K392" s="4" t="s">
        <v>16</v>
      </c>
      <c r="L392" s="1" t="s">
        <v>23</v>
      </c>
      <c r="M392" s="1" t="s">
        <v>58</v>
      </c>
      <c r="N392" s="7" t="str">
        <f>IFERROR(VLOOKUP(#REF!,'2. Buzzi Admin Only'!N:O,2,0),"")</f>
        <v/>
      </c>
      <c r="O392" s="6" t="str">
        <f>IFERROR(VLOOKUP(K392,'2. Buzzi Admin Only'!Q:R,2,0),"")</f>
        <v/>
      </c>
    </row>
    <row r="393" spans="1:15" ht="15.75" customHeight="1" x14ac:dyDescent="0.25">
      <c r="A393" s="1" t="s">
        <v>1138</v>
      </c>
      <c r="B393" s="1" t="s">
        <v>16</v>
      </c>
      <c r="C393" s="1" t="s">
        <v>16</v>
      </c>
      <c r="D393" s="2" t="s">
        <v>1139</v>
      </c>
      <c r="E393" s="1" t="s">
        <v>1140</v>
      </c>
      <c r="F393" s="1" t="s">
        <v>20</v>
      </c>
      <c r="G393" s="1" t="s">
        <v>28</v>
      </c>
      <c r="H393" s="1" t="s">
        <v>16</v>
      </c>
      <c r="I393" s="1" t="s">
        <v>16</v>
      </c>
      <c r="J393" s="1" t="s">
        <v>16</v>
      </c>
      <c r="K393" s="4" t="s">
        <v>16</v>
      </c>
      <c r="L393" s="1" t="s">
        <v>23</v>
      </c>
      <c r="M393" s="1" t="s">
        <v>1141</v>
      </c>
      <c r="N393" s="7" t="str">
        <f>IFERROR(VLOOKUP(#REF!,'2. Buzzi Admin Only'!N:O,2,0),"")</f>
        <v/>
      </c>
      <c r="O393" s="6" t="str">
        <f>IFERROR(VLOOKUP(K393,'2. Buzzi Admin Only'!Q:R,2,0),"")</f>
        <v/>
      </c>
    </row>
    <row r="394" spans="1:15" ht="15.75" customHeight="1" x14ac:dyDescent="0.25">
      <c r="A394" s="1" t="s">
        <v>1142</v>
      </c>
      <c r="B394" s="1" t="s">
        <v>16</v>
      </c>
      <c r="C394" s="1" t="s">
        <v>16</v>
      </c>
      <c r="D394" s="2" t="s">
        <v>1143</v>
      </c>
      <c r="E394" s="1" t="s">
        <v>1144</v>
      </c>
      <c r="F394" s="1" t="s">
        <v>20</v>
      </c>
      <c r="G394" s="1" t="s">
        <v>44</v>
      </c>
      <c r="H394" s="1" t="s">
        <v>1145</v>
      </c>
      <c r="I394" s="1" t="s">
        <v>16</v>
      </c>
      <c r="J394" s="1" t="s">
        <v>16</v>
      </c>
      <c r="K394" s="4" t="s">
        <v>16</v>
      </c>
      <c r="L394" s="1" t="s">
        <v>23</v>
      </c>
      <c r="M394" s="1" t="s">
        <v>52</v>
      </c>
      <c r="N394" s="7" t="str">
        <f>IFERROR(VLOOKUP(#REF!,'2. Buzzi Admin Only'!N:O,2,0),"")</f>
        <v/>
      </c>
      <c r="O394" s="6" t="str">
        <f>IFERROR(VLOOKUP(K394,'2. Buzzi Admin Only'!Q:R,2,0),"")</f>
        <v/>
      </c>
    </row>
    <row r="395" spans="1:15" ht="15.75" customHeight="1" x14ac:dyDescent="0.25">
      <c r="A395" s="1" t="s">
        <v>1146</v>
      </c>
      <c r="B395" s="1" t="s">
        <v>138</v>
      </c>
      <c r="C395" s="1" t="s">
        <v>1147</v>
      </c>
      <c r="D395" s="2" t="s">
        <v>1148</v>
      </c>
      <c r="E395" s="1" t="s">
        <v>1149</v>
      </c>
      <c r="F395" s="1" t="s">
        <v>20</v>
      </c>
      <c r="G395" s="1" t="s">
        <v>21</v>
      </c>
      <c r="H395" s="1" t="s">
        <v>1150</v>
      </c>
      <c r="I395" s="1" t="s">
        <v>16</v>
      </c>
      <c r="J395" s="1" t="s">
        <v>57</v>
      </c>
      <c r="K395" s="4" t="s">
        <v>16</v>
      </c>
      <c r="L395" s="1" t="s">
        <v>23</v>
      </c>
      <c r="M395" s="1" t="s">
        <v>58</v>
      </c>
      <c r="N395" s="7" t="str">
        <f>IFERROR(VLOOKUP(#REF!,'2. Buzzi Admin Only'!N:O,2,0),"")</f>
        <v/>
      </c>
      <c r="O395" s="6" t="str">
        <f>IFERROR(VLOOKUP(K395,'2. Buzzi Admin Only'!Q:R,2,0),"")</f>
        <v/>
      </c>
    </row>
    <row r="396" spans="1:15" ht="15.75" customHeight="1" x14ac:dyDescent="0.25">
      <c r="A396" s="1" t="s">
        <v>1151</v>
      </c>
      <c r="B396" s="1" t="s">
        <v>16</v>
      </c>
      <c r="C396" s="1" t="s">
        <v>16</v>
      </c>
      <c r="D396" s="2" t="s">
        <v>16</v>
      </c>
      <c r="E396" s="1" t="s">
        <v>40</v>
      </c>
      <c r="F396" s="1" t="s">
        <v>16</v>
      </c>
      <c r="G396" s="1" t="s">
        <v>16</v>
      </c>
      <c r="H396" s="1" t="s">
        <v>16</v>
      </c>
      <c r="I396" s="1" t="s">
        <v>16</v>
      </c>
      <c r="J396" s="1" t="s">
        <v>16</v>
      </c>
      <c r="K396" s="4" t="s">
        <v>16</v>
      </c>
      <c r="L396" s="1" t="s">
        <v>71</v>
      </c>
      <c r="M396" s="1" t="s">
        <v>16</v>
      </c>
      <c r="N396" s="7" t="str">
        <f>IFERROR(VLOOKUP(#REF!,'2. Buzzi Admin Only'!N:O,2,0),"")</f>
        <v/>
      </c>
      <c r="O396" s="6" t="str">
        <f>IFERROR(VLOOKUP(K396,'2. Buzzi Admin Only'!Q:R,2,0),"")</f>
        <v/>
      </c>
    </row>
    <row r="397" spans="1:15" ht="15.75" customHeight="1" x14ac:dyDescent="0.25">
      <c r="A397" s="1" t="s">
        <v>1152</v>
      </c>
      <c r="B397" s="1" t="s">
        <v>16</v>
      </c>
      <c r="C397" s="1" t="s">
        <v>16</v>
      </c>
      <c r="D397" s="2" t="s">
        <v>16</v>
      </c>
      <c r="E397" s="1" t="s">
        <v>40</v>
      </c>
      <c r="F397" s="1" t="s">
        <v>16</v>
      </c>
      <c r="G397" s="1" t="s">
        <v>16</v>
      </c>
      <c r="H397" s="1" t="s">
        <v>16</v>
      </c>
      <c r="I397" s="1" t="s">
        <v>16</v>
      </c>
      <c r="J397" s="1" t="s">
        <v>16</v>
      </c>
      <c r="K397" s="4" t="s">
        <v>16</v>
      </c>
      <c r="L397" s="1" t="s">
        <v>71</v>
      </c>
      <c r="M397" s="1" t="s">
        <v>16</v>
      </c>
      <c r="N397" s="7" t="str">
        <f>IFERROR(VLOOKUP(#REF!,'2. Buzzi Admin Only'!N:O,2,0),"")</f>
        <v/>
      </c>
      <c r="O397" s="6" t="str">
        <f>IFERROR(VLOOKUP(K397,'2. Buzzi Admin Only'!Q:R,2,0),"")</f>
        <v/>
      </c>
    </row>
    <row r="398" spans="1:15" ht="15.75" customHeight="1" x14ac:dyDescent="0.25">
      <c r="A398" s="1" t="s">
        <v>1153</v>
      </c>
      <c r="B398" s="1" t="s">
        <v>138</v>
      </c>
      <c r="C398" s="1" t="s">
        <v>16</v>
      </c>
      <c r="D398" s="2" t="s">
        <v>1154</v>
      </c>
      <c r="E398" s="1" t="s">
        <v>1155</v>
      </c>
      <c r="F398" s="1" t="s">
        <v>20</v>
      </c>
      <c r="G398" s="1" t="s">
        <v>21</v>
      </c>
      <c r="H398" s="1" t="s">
        <v>1156</v>
      </c>
      <c r="I398" s="1" t="s">
        <v>16</v>
      </c>
      <c r="J398" s="1" t="s">
        <v>57</v>
      </c>
      <c r="K398" s="4" t="s">
        <v>16</v>
      </c>
      <c r="L398" s="1" t="s">
        <v>23</v>
      </c>
      <c r="M398" s="1" t="s">
        <v>813</v>
      </c>
      <c r="N398" s="7" t="str">
        <f>IFERROR(VLOOKUP(#REF!,'2. Buzzi Admin Only'!N:O,2,0),"")</f>
        <v/>
      </c>
      <c r="O398" s="6" t="str">
        <f>IFERROR(VLOOKUP(K398,'2. Buzzi Admin Only'!Q:R,2,0),"")</f>
        <v/>
      </c>
    </row>
    <row r="399" spans="1:15" ht="15.75" customHeight="1" x14ac:dyDescent="0.25">
      <c r="A399" s="1" t="s">
        <v>1157</v>
      </c>
      <c r="B399" s="1" t="s">
        <v>138</v>
      </c>
      <c r="C399" s="1" t="s">
        <v>16</v>
      </c>
      <c r="D399" s="2" t="s">
        <v>777</v>
      </c>
      <c r="E399" s="1" t="s">
        <v>40</v>
      </c>
      <c r="F399" s="1" t="s">
        <v>20</v>
      </c>
      <c r="G399" s="1" t="s">
        <v>21</v>
      </c>
      <c r="H399" s="1" t="s">
        <v>16</v>
      </c>
      <c r="I399" s="1" t="s">
        <v>16</v>
      </c>
      <c r="J399" s="1" t="s">
        <v>57</v>
      </c>
      <c r="K399" s="4" t="s">
        <v>16</v>
      </c>
      <c r="L399" s="1" t="s">
        <v>23</v>
      </c>
      <c r="M399" s="1" t="s">
        <v>1158</v>
      </c>
      <c r="N399" s="7" t="str">
        <f>IFERROR(VLOOKUP(#REF!,'2. Buzzi Admin Only'!N:O,2,0),"")</f>
        <v/>
      </c>
      <c r="O399" s="6" t="str">
        <f>IFERROR(VLOOKUP(K399,'2. Buzzi Admin Only'!Q:R,2,0),"")</f>
        <v/>
      </c>
    </row>
    <row r="400" spans="1:15" ht="15.75" customHeight="1" x14ac:dyDescent="0.25">
      <c r="A400" s="1" t="s">
        <v>1159</v>
      </c>
      <c r="B400" s="1" t="s">
        <v>16</v>
      </c>
      <c r="C400" s="1" t="s">
        <v>16</v>
      </c>
      <c r="D400" s="2" t="s">
        <v>16</v>
      </c>
      <c r="E400" s="1" t="s">
        <v>1160</v>
      </c>
      <c r="F400" s="1" t="s">
        <v>20</v>
      </c>
      <c r="G400" s="1" t="s">
        <v>44</v>
      </c>
      <c r="H400" s="1" t="s">
        <v>16</v>
      </c>
      <c r="I400" s="1" t="s">
        <v>16</v>
      </c>
      <c r="J400" s="1" t="s">
        <v>16</v>
      </c>
      <c r="K400" s="4" t="s">
        <v>16</v>
      </c>
      <c r="L400" s="1" t="s">
        <v>23</v>
      </c>
      <c r="M400" s="1" t="s">
        <v>58</v>
      </c>
      <c r="N400" s="7" t="str">
        <f>IFERROR(VLOOKUP(#REF!,'2. Buzzi Admin Only'!N:O,2,0),"")</f>
        <v/>
      </c>
      <c r="O400" s="6" t="str">
        <f>IFERROR(VLOOKUP(K400,'2. Buzzi Admin Only'!Q:R,2,0),"")</f>
        <v/>
      </c>
    </row>
    <row r="401" spans="1:15" ht="15.75" customHeight="1" x14ac:dyDescent="0.25">
      <c r="A401" s="1" t="s">
        <v>1161</v>
      </c>
      <c r="B401" s="1" t="s">
        <v>16</v>
      </c>
      <c r="C401" s="1" t="s">
        <v>16</v>
      </c>
      <c r="D401" s="2" t="s">
        <v>16</v>
      </c>
      <c r="E401" s="1" t="s">
        <v>16</v>
      </c>
      <c r="F401" s="1" t="s">
        <v>20</v>
      </c>
      <c r="G401" s="1" t="s">
        <v>16</v>
      </c>
      <c r="H401" s="1" t="s">
        <v>16</v>
      </c>
      <c r="I401" s="1" t="s">
        <v>16</v>
      </c>
      <c r="J401" s="1" t="s">
        <v>16</v>
      </c>
      <c r="K401" s="4" t="s">
        <v>16</v>
      </c>
      <c r="L401" s="1" t="s">
        <v>23</v>
      </c>
      <c r="M401" s="1" t="s">
        <v>16</v>
      </c>
      <c r="N401" s="7" t="str">
        <f>IFERROR(VLOOKUP(#REF!,'2. Buzzi Admin Only'!N:O,2,0),"")</f>
        <v/>
      </c>
      <c r="O401" s="6" t="str">
        <f>IFERROR(VLOOKUP(K401,'2. Buzzi Admin Only'!Q:R,2,0),"")</f>
        <v/>
      </c>
    </row>
    <row r="402" spans="1:15" ht="15.75" customHeight="1" x14ac:dyDescent="0.25">
      <c r="A402" s="1" t="s">
        <v>1162</v>
      </c>
      <c r="B402" s="1" t="s">
        <v>16</v>
      </c>
      <c r="C402" s="1" t="s">
        <v>16</v>
      </c>
      <c r="D402" s="2" t="s">
        <v>16</v>
      </c>
      <c r="E402" s="1" t="s">
        <v>16</v>
      </c>
      <c r="F402" s="1" t="s">
        <v>20</v>
      </c>
      <c r="G402" s="1" t="s">
        <v>16</v>
      </c>
      <c r="H402" s="1" t="s">
        <v>1163</v>
      </c>
      <c r="I402" s="1" t="s">
        <v>16</v>
      </c>
      <c r="J402" s="1" t="s">
        <v>16</v>
      </c>
      <c r="K402" s="4" t="s">
        <v>16</v>
      </c>
      <c r="L402" s="1" t="s">
        <v>23</v>
      </c>
      <c r="M402" s="1" t="s">
        <v>16</v>
      </c>
      <c r="N402" s="7" t="str">
        <f>IFERROR(VLOOKUP(#REF!,'2. Buzzi Admin Only'!N:O,2,0),"")</f>
        <v/>
      </c>
      <c r="O402" s="6" t="str">
        <f>IFERROR(VLOOKUP(K402,'2. Buzzi Admin Only'!Q:R,2,0),"")</f>
        <v/>
      </c>
    </row>
    <row r="403" spans="1:15" ht="15.75" customHeight="1" x14ac:dyDescent="0.25">
      <c r="A403" s="1" t="s">
        <v>1164</v>
      </c>
      <c r="B403" s="1" t="s">
        <v>158</v>
      </c>
      <c r="C403" s="1" t="s">
        <v>16</v>
      </c>
      <c r="D403" s="2" t="s">
        <v>348</v>
      </c>
      <c r="E403" s="1" t="s">
        <v>1165</v>
      </c>
      <c r="F403" s="1" t="s">
        <v>20</v>
      </c>
      <c r="G403" s="1" t="s">
        <v>21</v>
      </c>
      <c r="H403" s="1" t="s">
        <v>1166</v>
      </c>
      <c r="I403" s="1" t="s">
        <v>16</v>
      </c>
      <c r="J403" s="1" t="s">
        <v>16</v>
      </c>
      <c r="K403" s="4" t="s">
        <v>16</v>
      </c>
      <c r="L403" s="1" t="s">
        <v>23</v>
      </c>
      <c r="M403" s="1" t="s">
        <v>16</v>
      </c>
      <c r="N403" s="7" t="str">
        <f>IFERROR(VLOOKUP(#REF!,'2. Buzzi Admin Only'!N:O,2,0),"")</f>
        <v/>
      </c>
      <c r="O403" s="6" t="str">
        <f>IFERROR(VLOOKUP(K403,'2. Buzzi Admin Only'!Q:R,2,0),"")</f>
        <v/>
      </c>
    </row>
    <row r="404" spans="1:15" ht="15.75" customHeight="1" x14ac:dyDescent="0.25">
      <c r="A404" s="1" t="s">
        <v>1167</v>
      </c>
      <c r="B404" s="1" t="s">
        <v>16</v>
      </c>
      <c r="C404" s="1" t="s">
        <v>16</v>
      </c>
      <c r="D404" s="2" t="s">
        <v>1168</v>
      </c>
      <c r="E404" s="1" t="s">
        <v>1169</v>
      </c>
      <c r="F404" s="1" t="s">
        <v>20</v>
      </c>
      <c r="G404" s="1" t="s">
        <v>21</v>
      </c>
      <c r="H404" s="1" t="s">
        <v>16</v>
      </c>
      <c r="I404" s="1" t="s">
        <v>16</v>
      </c>
      <c r="J404" s="1" t="s">
        <v>16</v>
      </c>
      <c r="K404" s="4" t="s">
        <v>16</v>
      </c>
      <c r="L404" s="1" t="s">
        <v>23</v>
      </c>
      <c r="M404" s="1" t="s">
        <v>52</v>
      </c>
      <c r="N404" s="7" t="str">
        <f>IFERROR(VLOOKUP(#REF!,'2. Buzzi Admin Only'!N:O,2,0),"")</f>
        <v/>
      </c>
      <c r="O404" s="6" t="str">
        <f>IFERROR(VLOOKUP(K404,'2. Buzzi Admin Only'!Q:R,2,0),"")</f>
        <v/>
      </c>
    </row>
    <row r="405" spans="1:15" ht="15.75" customHeight="1" x14ac:dyDescent="0.25">
      <c r="A405" s="1" t="s">
        <v>1170</v>
      </c>
      <c r="B405" s="1" t="s">
        <v>16</v>
      </c>
      <c r="C405" s="1" t="s">
        <v>16</v>
      </c>
      <c r="D405" s="2" t="s">
        <v>16</v>
      </c>
      <c r="E405" s="1" t="s">
        <v>16</v>
      </c>
      <c r="F405" s="1" t="s">
        <v>20</v>
      </c>
      <c r="G405" s="1" t="s">
        <v>28</v>
      </c>
      <c r="H405" s="1" t="s">
        <v>16</v>
      </c>
      <c r="I405" s="1" t="s">
        <v>16</v>
      </c>
      <c r="J405" s="1" t="s">
        <v>16</v>
      </c>
      <c r="K405" s="4" t="s">
        <v>16</v>
      </c>
      <c r="L405" s="1" t="s">
        <v>71</v>
      </c>
      <c r="M405" s="1" t="s">
        <v>16</v>
      </c>
      <c r="N405" s="7" t="str">
        <f>IFERROR(VLOOKUP(#REF!,'2. Buzzi Admin Only'!N:O,2,0),"")</f>
        <v/>
      </c>
      <c r="O405" s="6" t="str">
        <f>IFERROR(VLOOKUP(K405,'2. Buzzi Admin Only'!Q:R,2,0),"")</f>
        <v/>
      </c>
    </row>
    <row r="406" spans="1:15" ht="15.75" customHeight="1" x14ac:dyDescent="0.25">
      <c r="A406" s="1" t="s">
        <v>1171</v>
      </c>
      <c r="B406" s="1" t="s">
        <v>138</v>
      </c>
      <c r="C406" s="1" t="s">
        <v>16</v>
      </c>
      <c r="D406" s="2" t="s">
        <v>1172</v>
      </c>
      <c r="E406" s="1" t="s">
        <v>1173</v>
      </c>
      <c r="F406" s="1" t="s">
        <v>20</v>
      </c>
      <c r="G406" s="1" t="s">
        <v>21</v>
      </c>
      <c r="H406" s="1" t="s">
        <v>1174</v>
      </c>
      <c r="I406" s="1" t="s">
        <v>16</v>
      </c>
      <c r="J406" s="1" t="s">
        <v>16</v>
      </c>
      <c r="K406" s="4" t="s">
        <v>16</v>
      </c>
      <c r="L406" s="1" t="s">
        <v>23</v>
      </c>
      <c r="M406" s="1" t="s">
        <v>58</v>
      </c>
      <c r="N406" s="7" t="str">
        <f>IFERROR(VLOOKUP(#REF!,'2. Buzzi Admin Only'!N:O,2,0),"")</f>
        <v/>
      </c>
      <c r="O406" s="6" t="str">
        <f>IFERROR(VLOOKUP(K406,'2. Buzzi Admin Only'!Q:R,2,0),"")</f>
        <v/>
      </c>
    </row>
    <row r="407" spans="1:15" ht="15.75" customHeight="1" x14ac:dyDescent="0.25">
      <c r="A407" s="1" t="s">
        <v>1175</v>
      </c>
      <c r="B407" s="1" t="s">
        <v>138</v>
      </c>
      <c r="C407" s="1" t="s">
        <v>16</v>
      </c>
      <c r="D407" s="2" t="s">
        <v>77</v>
      </c>
      <c r="E407" s="1" t="s">
        <v>1045</v>
      </c>
      <c r="F407" s="1" t="s">
        <v>20</v>
      </c>
      <c r="G407" s="1" t="s">
        <v>21</v>
      </c>
      <c r="H407" s="1" t="s">
        <v>1176</v>
      </c>
      <c r="I407" s="1" t="s">
        <v>16</v>
      </c>
      <c r="J407" s="1" t="s">
        <v>57</v>
      </c>
      <c r="K407" s="4" t="s">
        <v>16</v>
      </c>
      <c r="L407" s="1" t="s">
        <v>23</v>
      </c>
      <c r="M407" s="1" t="s">
        <v>58</v>
      </c>
      <c r="N407" s="7" t="str">
        <f>IFERROR(VLOOKUP(#REF!,'2. Buzzi Admin Only'!N:O,2,0),"")</f>
        <v/>
      </c>
      <c r="O407" s="6" t="str">
        <f>IFERROR(VLOOKUP(K407,'2. Buzzi Admin Only'!Q:R,2,0),"")</f>
        <v/>
      </c>
    </row>
    <row r="408" spans="1:15" ht="15.75" customHeight="1" x14ac:dyDescent="0.25">
      <c r="A408" s="1" t="s">
        <v>1177</v>
      </c>
      <c r="B408" s="1" t="s">
        <v>16</v>
      </c>
      <c r="C408" s="1" t="s">
        <v>16</v>
      </c>
      <c r="D408" s="2" t="s">
        <v>968</v>
      </c>
      <c r="E408" s="1" t="s">
        <v>19</v>
      </c>
      <c r="F408" s="1" t="s">
        <v>20</v>
      </c>
      <c r="G408" s="1" t="s">
        <v>28</v>
      </c>
      <c r="H408" s="1" t="s">
        <v>16</v>
      </c>
      <c r="I408" s="1" t="s">
        <v>16</v>
      </c>
      <c r="J408" s="1" t="s">
        <v>16</v>
      </c>
      <c r="K408" s="4" t="s">
        <v>16</v>
      </c>
      <c r="L408" s="1" t="s">
        <v>23</v>
      </c>
      <c r="M408" s="1" t="s">
        <v>1178</v>
      </c>
      <c r="N408" s="7" t="str">
        <f>IFERROR(VLOOKUP(#REF!,'2. Buzzi Admin Only'!N:O,2,0),"")</f>
        <v/>
      </c>
      <c r="O408" s="6" t="str">
        <f>IFERROR(VLOOKUP(K408,'2. Buzzi Admin Only'!Q:R,2,0),"")</f>
        <v/>
      </c>
    </row>
    <row r="409" spans="1:15" ht="15.75" customHeight="1" x14ac:dyDescent="0.25">
      <c r="A409" s="1" t="s">
        <v>1179</v>
      </c>
      <c r="B409" s="1" t="s">
        <v>16</v>
      </c>
      <c r="C409" s="1" t="s">
        <v>16</v>
      </c>
      <c r="D409" s="2" t="s">
        <v>16</v>
      </c>
      <c r="E409" s="1" t="s">
        <v>1180</v>
      </c>
      <c r="F409" s="1" t="s">
        <v>20</v>
      </c>
      <c r="G409" s="1" t="s">
        <v>28</v>
      </c>
      <c r="H409" s="1" t="s">
        <v>16</v>
      </c>
      <c r="I409" s="1" t="s">
        <v>16</v>
      </c>
      <c r="J409" s="1" t="s">
        <v>16</v>
      </c>
      <c r="K409" s="4" t="s">
        <v>16</v>
      </c>
      <c r="L409" s="1" t="s">
        <v>23</v>
      </c>
      <c r="M409" s="1" t="s">
        <v>16</v>
      </c>
      <c r="N409" s="7" t="str">
        <f>IFERROR(VLOOKUP(#REF!,'2. Buzzi Admin Only'!N:O,2,0),"")</f>
        <v/>
      </c>
      <c r="O409" s="6" t="str">
        <f>IFERROR(VLOOKUP(K409,'2. Buzzi Admin Only'!Q:R,2,0),"")</f>
        <v/>
      </c>
    </row>
    <row r="410" spans="1:15" ht="15.75" customHeight="1" x14ac:dyDescent="0.25">
      <c r="A410" s="1" t="s">
        <v>1181</v>
      </c>
      <c r="B410" s="1" t="s">
        <v>138</v>
      </c>
      <c r="C410" s="1" t="s">
        <v>16</v>
      </c>
      <c r="D410" s="2" t="s">
        <v>653</v>
      </c>
      <c r="E410" s="1" t="s">
        <v>1182</v>
      </c>
      <c r="F410" s="1" t="s">
        <v>20</v>
      </c>
      <c r="G410" s="1" t="s">
        <v>21</v>
      </c>
      <c r="H410" s="1" t="s">
        <v>1183</v>
      </c>
      <c r="I410" s="1" t="s">
        <v>16</v>
      </c>
      <c r="J410" s="1" t="s">
        <v>1184</v>
      </c>
      <c r="K410" s="4" t="s">
        <v>16</v>
      </c>
      <c r="L410" s="1" t="s">
        <v>23</v>
      </c>
      <c r="M410" s="1" t="s">
        <v>52</v>
      </c>
      <c r="N410" s="7" t="str">
        <f>IFERROR(VLOOKUP(#REF!,'2. Buzzi Admin Only'!N:O,2,0),"")</f>
        <v/>
      </c>
      <c r="O410" s="6" t="str">
        <f>IFERROR(VLOOKUP(K410,'2. Buzzi Admin Only'!Q:R,2,0),"")</f>
        <v/>
      </c>
    </row>
    <row r="411" spans="1:15" ht="15.75" customHeight="1" x14ac:dyDescent="0.25">
      <c r="A411" s="1" t="s">
        <v>1185</v>
      </c>
      <c r="B411" s="1" t="s">
        <v>138</v>
      </c>
      <c r="C411" s="1" t="s">
        <v>60</v>
      </c>
      <c r="D411" s="2" t="s">
        <v>1186</v>
      </c>
      <c r="E411" s="1" t="s">
        <v>1187</v>
      </c>
      <c r="F411" s="1" t="s">
        <v>20</v>
      </c>
      <c r="G411" s="1" t="s">
        <v>28</v>
      </c>
      <c r="H411" s="1" t="s">
        <v>1188</v>
      </c>
      <c r="I411" s="1" t="s">
        <v>16</v>
      </c>
      <c r="J411" s="1" t="s">
        <v>16</v>
      </c>
      <c r="K411" s="4" t="s">
        <v>16</v>
      </c>
      <c r="L411" s="1" t="s">
        <v>23</v>
      </c>
      <c r="M411" s="1" t="s">
        <v>58</v>
      </c>
      <c r="N411" s="7" t="str">
        <f>IFERROR(VLOOKUP(#REF!,'2. Buzzi Admin Only'!N:O,2,0),"")</f>
        <v/>
      </c>
      <c r="O411" s="6" t="str">
        <f>IFERROR(VLOOKUP(K411,'2. Buzzi Admin Only'!Q:R,2,0),"")</f>
        <v/>
      </c>
    </row>
    <row r="412" spans="1:15" ht="15.75" customHeight="1" x14ac:dyDescent="0.25">
      <c r="A412" s="1" t="s">
        <v>1189</v>
      </c>
      <c r="B412" s="1" t="s">
        <v>16</v>
      </c>
      <c r="C412" s="1" t="s">
        <v>16</v>
      </c>
      <c r="D412" s="2" t="s">
        <v>16</v>
      </c>
      <c r="E412" s="1" t="s">
        <v>19</v>
      </c>
      <c r="F412" s="1" t="s">
        <v>20</v>
      </c>
      <c r="G412" s="1" t="s">
        <v>28</v>
      </c>
      <c r="H412" s="1" t="s">
        <v>1190</v>
      </c>
      <c r="I412" s="1" t="s">
        <v>16</v>
      </c>
      <c r="J412" s="1" t="s">
        <v>16</v>
      </c>
      <c r="K412" s="4" t="s">
        <v>16</v>
      </c>
      <c r="L412" s="1" t="s">
        <v>23</v>
      </c>
      <c r="M412" s="1" t="s">
        <v>58</v>
      </c>
      <c r="N412" s="7" t="str">
        <f>IFERROR(VLOOKUP(#REF!,'2. Buzzi Admin Only'!N:O,2,0),"")</f>
        <v/>
      </c>
      <c r="O412" s="6" t="str">
        <f>IFERROR(VLOOKUP(K412,'2. Buzzi Admin Only'!Q:R,2,0),"")</f>
        <v/>
      </c>
    </row>
    <row r="413" spans="1:15" ht="15.75" customHeight="1" x14ac:dyDescent="0.25">
      <c r="A413" s="1" t="s">
        <v>1191</v>
      </c>
      <c r="B413" s="1" t="s">
        <v>16</v>
      </c>
      <c r="C413" s="1" t="s">
        <v>16</v>
      </c>
      <c r="D413" s="2" t="s">
        <v>1192</v>
      </c>
      <c r="E413" s="1" t="s">
        <v>19</v>
      </c>
      <c r="F413" s="1" t="s">
        <v>20</v>
      </c>
      <c r="G413" s="1" t="s">
        <v>28</v>
      </c>
      <c r="H413" s="1" t="s">
        <v>1193</v>
      </c>
      <c r="I413" s="1" t="s">
        <v>16</v>
      </c>
      <c r="J413" s="1" t="s">
        <v>16</v>
      </c>
      <c r="K413" s="4" t="s">
        <v>16</v>
      </c>
      <c r="L413" s="1" t="s">
        <v>23</v>
      </c>
      <c r="M413" s="1" t="s">
        <v>58</v>
      </c>
      <c r="N413" s="7" t="str">
        <f>IFERROR(VLOOKUP(#REF!,'2. Buzzi Admin Only'!N:O,2,0),"")</f>
        <v/>
      </c>
      <c r="O413" s="6" t="str">
        <f>IFERROR(VLOOKUP(K413,'2. Buzzi Admin Only'!Q:R,2,0),"")</f>
        <v/>
      </c>
    </row>
    <row r="414" spans="1:15" ht="15.75" customHeight="1" x14ac:dyDescent="0.25">
      <c r="A414" s="1" t="s">
        <v>1194</v>
      </c>
      <c r="B414" s="1" t="s">
        <v>38</v>
      </c>
      <c r="C414" s="1" t="s">
        <v>16</v>
      </c>
      <c r="D414" s="2" t="s">
        <v>830</v>
      </c>
      <c r="E414" s="1" t="s">
        <v>1195</v>
      </c>
      <c r="F414" s="1" t="s">
        <v>20</v>
      </c>
      <c r="G414" s="1" t="s">
        <v>21</v>
      </c>
      <c r="H414" s="1" t="s">
        <v>1196</v>
      </c>
      <c r="I414" s="1" t="s">
        <v>16</v>
      </c>
      <c r="J414" s="1" t="s">
        <v>16</v>
      </c>
      <c r="K414" s="4" t="s">
        <v>16</v>
      </c>
      <c r="L414" s="1" t="s">
        <v>23</v>
      </c>
      <c r="M414" s="1" t="s">
        <v>1197</v>
      </c>
      <c r="N414" s="7" t="str">
        <f>IFERROR(VLOOKUP(#REF!,'2. Buzzi Admin Only'!N:O,2,0),"")</f>
        <v/>
      </c>
      <c r="O414" s="6" t="str">
        <f>IFERROR(VLOOKUP(K414,'2. Buzzi Admin Only'!Q:R,2,0),"")</f>
        <v/>
      </c>
    </row>
    <row r="415" spans="1:15" ht="15.75" customHeight="1" x14ac:dyDescent="0.25">
      <c r="A415" s="1" t="s">
        <v>1198</v>
      </c>
      <c r="B415" s="1" t="s">
        <v>16</v>
      </c>
      <c r="C415" s="1" t="s">
        <v>16</v>
      </c>
      <c r="D415" s="2" t="s">
        <v>16</v>
      </c>
      <c r="E415" s="1" t="s">
        <v>40</v>
      </c>
      <c r="F415" s="1" t="s">
        <v>16</v>
      </c>
      <c r="G415" s="1" t="s">
        <v>16</v>
      </c>
      <c r="H415" s="1" t="s">
        <v>1199</v>
      </c>
      <c r="I415" s="1" t="s">
        <v>16</v>
      </c>
      <c r="J415" s="1" t="s">
        <v>16</v>
      </c>
      <c r="K415" s="4" t="s">
        <v>16</v>
      </c>
      <c r="L415" s="1" t="s">
        <v>71</v>
      </c>
      <c r="M415" s="1" t="s">
        <v>16</v>
      </c>
      <c r="N415" s="7" t="str">
        <f>IFERROR(VLOOKUP(#REF!,'2. Buzzi Admin Only'!N:O,2,0),"")</f>
        <v/>
      </c>
      <c r="O415" s="6" t="str">
        <f>IFERROR(VLOOKUP(K415,'2. Buzzi Admin Only'!Q:R,2,0),"")</f>
        <v/>
      </c>
    </row>
    <row r="416" spans="1:15" ht="15.75" customHeight="1" x14ac:dyDescent="0.25">
      <c r="A416" s="1" t="s">
        <v>1200</v>
      </c>
      <c r="B416" s="1" t="s">
        <v>16</v>
      </c>
      <c r="C416" s="1" t="s">
        <v>16</v>
      </c>
      <c r="D416" s="2" t="s">
        <v>16</v>
      </c>
      <c r="E416" s="1" t="s">
        <v>1201</v>
      </c>
      <c r="F416" s="1" t="s">
        <v>20</v>
      </c>
      <c r="G416" s="1" t="s">
        <v>21</v>
      </c>
      <c r="H416" s="1" t="s">
        <v>1202</v>
      </c>
      <c r="I416" s="1" t="s">
        <v>16</v>
      </c>
      <c r="J416" s="1" t="s">
        <v>16</v>
      </c>
      <c r="K416" s="4" t="s">
        <v>16</v>
      </c>
      <c r="L416" s="1" t="s">
        <v>23</v>
      </c>
      <c r="M416" s="1" t="s">
        <v>16</v>
      </c>
      <c r="N416" s="7" t="str">
        <f>IFERROR(VLOOKUP(#REF!,'2. Buzzi Admin Only'!N:O,2,0),"")</f>
        <v/>
      </c>
      <c r="O416" s="6" t="str">
        <f>IFERROR(VLOOKUP(K416,'2. Buzzi Admin Only'!Q:R,2,0),"")</f>
        <v/>
      </c>
    </row>
    <row r="417" spans="1:15" ht="15.75" customHeight="1" x14ac:dyDescent="0.25">
      <c r="A417" s="1" t="s">
        <v>1203</v>
      </c>
      <c r="B417" s="1" t="s">
        <v>16</v>
      </c>
      <c r="C417" s="1" t="s">
        <v>16</v>
      </c>
      <c r="D417" s="2" t="s">
        <v>982</v>
      </c>
      <c r="E417" s="1" t="s">
        <v>1204</v>
      </c>
      <c r="F417" s="1" t="s">
        <v>20</v>
      </c>
      <c r="G417" s="1" t="s">
        <v>28</v>
      </c>
      <c r="H417" s="1" t="s">
        <v>1205</v>
      </c>
      <c r="I417" s="1" t="s">
        <v>16</v>
      </c>
      <c r="J417" s="1" t="s">
        <v>16</v>
      </c>
      <c r="K417" s="4" t="s">
        <v>16</v>
      </c>
      <c r="L417" s="1" t="s">
        <v>23</v>
      </c>
      <c r="M417" s="1" t="s">
        <v>58</v>
      </c>
      <c r="N417" s="7" t="str">
        <f>IFERROR(VLOOKUP(#REF!,'2. Buzzi Admin Only'!N:O,2,0),"")</f>
        <v/>
      </c>
      <c r="O417" s="6" t="str">
        <f>IFERROR(VLOOKUP(K417,'2. Buzzi Admin Only'!Q:R,2,0),"")</f>
        <v/>
      </c>
    </row>
    <row r="418" spans="1:15" ht="15.75" customHeight="1" x14ac:dyDescent="0.25">
      <c r="A418" s="1" t="s">
        <v>1206</v>
      </c>
      <c r="B418" s="1" t="s">
        <v>16</v>
      </c>
      <c r="C418" s="1" t="s">
        <v>16</v>
      </c>
      <c r="D418" s="2" t="s">
        <v>1207</v>
      </c>
      <c r="E418" s="1" t="s">
        <v>40</v>
      </c>
      <c r="F418" s="1" t="s">
        <v>20</v>
      </c>
      <c r="G418" s="1" t="s">
        <v>28</v>
      </c>
      <c r="H418" s="1" t="s">
        <v>16</v>
      </c>
      <c r="I418" s="1" t="s">
        <v>16</v>
      </c>
      <c r="J418" s="1" t="s">
        <v>16</v>
      </c>
      <c r="K418" s="4" t="s">
        <v>16</v>
      </c>
      <c r="L418" s="1" t="s">
        <v>71</v>
      </c>
      <c r="M418" s="1" t="s">
        <v>16</v>
      </c>
      <c r="N418" s="7" t="str">
        <f>IFERROR(VLOOKUP(#REF!,'2. Buzzi Admin Only'!N:O,2,0),"")</f>
        <v/>
      </c>
      <c r="O418" s="6" t="str">
        <f>IFERROR(VLOOKUP(K418,'2. Buzzi Admin Only'!Q:R,2,0),"")</f>
        <v/>
      </c>
    </row>
    <row r="419" spans="1:15" ht="15.75" customHeight="1" x14ac:dyDescent="0.25">
      <c r="A419" s="1" t="s">
        <v>1208</v>
      </c>
      <c r="B419" s="1" t="s">
        <v>16</v>
      </c>
      <c r="C419" s="1" t="s">
        <v>16</v>
      </c>
      <c r="D419" s="2" t="s">
        <v>16</v>
      </c>
      <c r="E419" s="1" t="s">
        <v>40</v>
      </c>
      <c r="F419" s="1" t="s">
        <v>20</v>
      </c>
      <c r="G419" s="1" t="s">
        <v>28</v>
      </c>
      <c r="H419" s="1" t="s">
        <v>16</v>
      </c>
      <c r="I419" s="1" t="s">
        <v>16</v>
      </c>
      <c r="J419" s="1" t="s">
        <v>16</v>
      </c>
      <c r="K419" s="4" t="s">
        <v>16</v>
      </c>
      <c r="L419" s="1" t="s">
        <v>71</v>
      </c>
      <c r="M419" s="1" t="s">
        <v>16</v>
      </c>
      <c r="N419" s="7" t="str">
        <f>IFERROR(VLOOKUP(#REF!,'2. Buzzi Admin Only'!N:O,2,0),"")</f>
        <v/>
      </c>
      <c r="O419" s="6" t="str">
        <f>IFERROR(VLOOKUP(K419,'2. Buzzi Admin Only'!Q:R,2,0),"")</f>
        <v/>
      </c>
    </row>
    <row r="420" spans="1:15" ht="15.75" customHeight="1" x14ac:dyDescent="0.25">
      <c r="A420" s="1" t="s">
        <v>1209</v>
      </c>
      <c r="B420" s="1" t="s">
        <v>138</v>
      </c>
      <c r="C420" s="1" t="s">
        <v>44</v>
      </c>
      <c r="D420" s="2" t="s">
        <v>16</v>
      </c>
      <c r="E420" s="1" t="s">
        <v>1066</v>
      </c>
      <c r="F420" s="1" t="s">
        <v>20</v>
      </c>
      <c r="G420" s="1" t="s">
        <v>21</v>
      </c>
      <c r="H420" s="1" t="s">
        <v>1210</v>
      </c>
      <c r="I420" s="1" t="s">
        <v>16</v>
      </c>
      <c r="J420" s="1" t="s">
        <v>16</v>
      </c>
      <c r="K420" s="4" t="s">
        <v>16</v>
      </c>
      <c r="L420" s="1" t="s">
        <v>23</v>
      </c>
      <c r="M420" s="1" t="s">
        <v>16</v>
      </c>
      <c r="N420" s="7" t="str">
        <f>IFERROR(VLOOKUP(#REF!,'2. Buzzi Admin Only'!N:O,2,0),"")</f>
        <v/>
      </c>
      <c r="O420" s="6" t="str">
        <f>IFERROR(VLOOKUP(K420,'2. Buzzi Admin Only'!Q:R,2,0),"")</f>
        <v/>
      </c>
    </row>
    <row r="421" spans="1:15" ht="15.75" customHeight="1" x14ac:dyDescent="0.25">
      <c r="A421" s="1" t="s">
        <v>1211</v>
      </c>
      <c r="B421" s="1" t="s">
        <v>138</v>
      </c>
      <c r="C421" s="1" t="s">
        <v>16</v>
      </c>
      <c r="D421" s="2" t="s">
        <v>968</v>
      </c>
      <c r="E421" s="1" t="s">
        <v>795</v>
      </c>
      <c r="F421" s="1" t="s">
        <v>20</v>
      </c>
      <c r="G421" s="1" t="s">
        <v>21</v>
      </c>
      <c r="H421" s="1" t="s">
        <v>1212</v>
      </c>
      <c r="I421" s="1" t="s">
        <v>16</v>
      </c>
      <c r="J421" s="1" t="s">
        <v>57</v>
      </c>
      <c r="K421" s="10">
        <v>700</v>
      </c>
      <c r="L421" s="1" t="s">
        <v>23</v>
      </c>
      <c r="M421" s="1" t="s">
        <v>58</v>
      </c>
      <c r="N421" s="7" t="str">
        <f>IFERROR(VLOOKUP(#REF!,'2. Buzzi Admin Only'!N:O,2,0),"")</f>
        <v/>
      </c>
      <c r="O421" s="6" t="str">
        <f>IFERROR(VLOOKUP(K421,'2. Buzzi Admin Only'!Q:R,2,0),"")</f>
        <v>Power Generation (Turbines, Boilers)</v>
      </c>
    </row>
    <row r="422" spans="1:15" ht="15.75" customHeight="1" x14ac:dyDescent="0.25">
      <c r="A422" s="1" t="s">
        <v>1213</v>
      </c>
      <c r="B422" s="1" t="s">
        <v>16</v>
      </c>
      <c r="C422" s="1" t="s">
        <v>16</v>
      </c>
      <c r="D422" s="2" t="s">
        <v>16</v>
      </c>
      <c r="E422" s="1" t="s">
        <v>40</v>
      </c>
      <c r="F422" s="1" t="s">
        <v>16</v>
      </c>
      <c r="G422" s="1" t="s">
        <v>16</v>
      </c>
      <c r="H422" s="1" t="s">
        <v>16</v>
      </c>
      <c r="I422" s="1" t="s">
        <v>16</v>
      </c>
      <c r="J422" s="1" t="s">
        <v>16</v>
      </c>
      <c r="K422" s="4" t="s">
        <v>16</v>
      </c>
      <c r="L422" s="1" t="s">
        <v>71</v>
      </c>
      <c r="M422" s="1" t="s">
        <v>16</v>
      </c>
      <c r="N422" s="7" t="str">
        <f>IFERROR(VLOOKUP(#REF!,'2. Buzzi Admin Only'!N:O,2,0),"")</f>
        <v/>
      </c>
      <c r="O422" s="6" t="str">
        <f>IFERROR(VLOOKUP(K422,'2. Buzzi Admin Only'!Q:R,2,0),"")</f>
        <v/>
      </c>
    </row>
    <row r="423" spans="1:15" ht="15.75" customHeight="1" x14ac:dyDescent="0.25">
      <c r="A423" s="1" t="s">
        <v>1214</v>
      </c>
      <c r="B423" s="1" t="s">
        <v>16</v>
      </c>
      <c r="C423" s="1" t="s">
        <v>16</v>
      </c>
      <c r="D423" s="2" t="s">
        <v>16</v>
      </c>
      <c r="E423" s="1" t="s">
        <v>40</v>
      </c>
      <c r="F423" s="1" t="s">
        <v>20</v>
      </c>
      <c r="G423" s="1" t="s">
        <v>70</v>
      </c>
      <c r="H423" s="1" t="s">
        <v>16</v>
      </c>
      <c r="I423" s="1" t="s">
        <v>16</v>
      </c>
      <c r="J423" s="1" t="s">
        <v>16</v>
      </c>
      <c r="K423" s="4" t="s">
        <v>16</v>
      </c>
      <c r="L423" s="1" t="s">
        <v>71</v>
      </c>
      <c r="M423" s="1" t="s">
        <v>16</v>
      </c>
      <c r="N423" s="7" t="str">
        <f>IFERROR(VLOOKUP(#REF!,'2. Buzzi Admin Only'!N:O,2,0),"")</f>
        <v/>
      </c>
      <c r="O423" s="6" t="str">
        <f>IFERROR(VLOOKUP(K423,'2. Buzzi Admin Only'!Q:R,2,0),"")</f>
        <v/>
      </c>
    </row>
    <row r="424" spans="1:15" ht="15.75" customHeight="1" x14ac:dyDescent="0.25">
      <c r="A424" s="1" t="s">
        <v>1215</v>
      </c>
      <c r="B424" s="1" t="s">
        <v>38</v>
      </c>
      <c r="C424" s="1" t="s">
        <v>60</v>
      </c>
      <c r="D424" s="2" t="s">
        <v>1216</v>
      </c>
      <c r="E424" s="1" t="s">
        <v>1217</v>
      </c>
      <c r="F424" s="1" t="s">
        <v>20</v>
      </c>
      <c r="G424" s="1" t="s">
        <v>28</v>
      </c>
      <c r="H424" s="1" t="s">
        <v>1218</v>
      </c>
      <c r="I424" s="1" t="s">
        <v>16</v>
      </c>
      <c r="J424" s="1" t="s">
        <v>16</v>
      </c>
      <c r="K424" s="4" t="s">
        <v>16</v>
      </c>
      <c r="L424" s="1" t="s">
        <v>23</v>
      </c>
      <c r="M424" s="1" t="s">
        <v>52</v>
      </c>
      <c r="N424" s="7" t="str">
        <f>IFERROR(VLOOKUP(#REF!,'2. Buzzi Admin Only'!N:O,2,0),"")</f>
        <v/>
      </c>
      <c r="O424" s="6" t="str">
        <f>IFERROR(VLOOKUP(K424,'2. Buzzi Admin Only'!Q:R,2,0),"")</f>
        <v/>
      </c>
    </row>
    <row r="425" spans="1:15" ht="15.75" customHeight="1" x14ac:dyDescent="0.25">
      <c r="A425" s="1" t="s">
        <v>1219</v>
      </c>
      <c r="B425" s="1" t="s">
        <v>16</v>
      </c>
      <c r="C425" s="1" t="s">
        <v>60</v>
      </c>
      <c r="D425" s="2" t="s">
        <v>1220</v>
      </c>
      <c r="E425" s="1" t="s">
        <v>1221</v>
      </c>
      <c r="F425" s="1" t="s">
        <v>20</v>
      </c>
      <c r="G425" s="1" t="s">
        <v>28</v>
      </c>
      <c r="H425" s="1" t="s">
        <v>1222</v>
      </c>
      <c r="I425" s="1" t="s">
        <v>16</v>
      </c>
      <c r="J425" s="1" t="s">
        <v>16</v>
      </c>
      <c r="K425" s="4" t="s">
        <v>16</v>
      </c>
      <c r="L425" s="1" t="s">
        <v>23</v>
      </c>
      <c r="M425" s="1" t="s">
        <v>52</v>
      </c>
      <c r="N425" s="7" t="str">
        <f>IFERROR(VLOOKUP(#REF!,'2. Buzzi Admin Only'!N:O,2,0),"")</f>
        <v/>
      </c>
      <c r="O425" s="6" t="str">
        <f>IFERROR(VLOOKUP(K425,'2. Buzzi Admin Only'!Q:R,2,0),"")</f>
        <v/>
      </c>
    </row>
    <row r="426" spans="1:15" ht="15.75" customHeight="1" x14ac:dyDescent="0.25">
      <c r="A426" s="1" t="s">
        <v>1223</v>
      </c>
      <c r="B426" s="1" t="s">
        <v>38</v>
      </c>
      <c r="C426" s="1" t="s">
        <v>16</v>
      </c>
      <c r="D426" s="2" t="s">
        <v>1224</v>
      </c>
      <c r="E426" s="1" t="s">
        <v>1225</v>
      </c>
      <c r="F426" s="1" t="s">
        <v>20</v>
      </c>
      <c r="G426" s="1" t="s">
        <v>21</v>
      </c>
      <c r="H426" s="1" t="s">
        <v>1226</v>
      </c>
      <c r="I426" s="1" t="s">
        <v>16</v>
      </c>
      <c r="J426" s="1" t="s">
        <v>16</v>
      </c>
      <c r="K426" s="4" t="s">
        <v>16</v>
      </c>
      <c r="L426" s="1" t="s">
        <v>23</v>
      </c>
      <c r="M426" s="1" t="s">
        <v>16</v>
      </c>
      <c r="N426" s="7" t="str">
        <f>IFERROR(VLOOKUP(#REF!,'2. Buzzi Admin Only'!N:O,2,0),"")</f>
        <v/>
      </c>
      <c r="O426" s="6" t="str">
        <f>IFERROR(VLOOKUP(K426,'2. Buzzi Admin Only'!Q:R,2,0),"")</f>
        <v/>
      </c>
    </row>
    <row r="427" spans="1:15" ht="15.75" customHeight="1" x14ac:dyDescent="0.25">
      <c r="A427" s="1" t="s">
        <v>1227</v>
      </c>
      <c r="B427" s="1" t="s">
        <v>16</v>
      </c>
      <c r="C427" s="1" t="s">
        <v>16</v>
      </c>
      <c r="D427" s="2" t="s">
        <v>16</v>
      </c>
      <c r="E427" s="1" t="s">
        <v>16</v>
      </c>
      <c r="F427" s="1" t="s">
        <v>16</v>
      </c>
      <c r="G427" s="1" t="s">
        <v>16</v>
      </c>
      <c r="H427" s="1" t="s">
        <v>16</v>
      </c>
      <c r="I427" s="1" t="s">
        <v>16</v>
      </c>
      <c r="J427" s="1" t="s">
        <v>16</v>
      </c>
      <c r="K427" s="4" t="s">
        <v>16</v>
      </c>
      <c r="L427" s="1" t="s">
        <v>16</v>
      </c>
      <c r="M427" s="1" t="s">
        <v>16</v>
      </c>
      <c r="N427" s="7" t="str">
        <f>IFERROR(VLOOKUP(#REF!,'2. Buzzi Admin Only'!N:O,2,0),"")</f>
        <v/>
      </c>
      <c r="O427" s="6" t="str">
        <f>IFERROR(VLOOKUP(K427,'2. Buzzi Admin Only'!Q:R,2,0),"")</f>
        <v/>
      </c>
    </row>
    <row r="428" spans="1:15" ht="15.75" customHeight="1" x14ac:dyDescent="0.25">
      <c r="A428" s="1" t="s">
        <v>1228</v>
      </c>
      <c r="B428" s="1" t="s">
        <v>158</v>
      </c>
      <c r="C428" s="1" t="s">
        <v>16</v>
      </c>
      <c r="D428" s="2" t="s">
        <v>1229</v>
      </c>
      <c r="E428" s="1" t="s">
        <v>40</v>
      </c>
      <c r="F428" s="1" t="s">
        <v>20</v>
      </c>
      <c r="G428" s="1" t="s">
        <v>28</v>
      </c>
      <c r="H428" s="1" t="s">
        <v>1230</v>
      </c>
      <c r="I428" s="1" t="s">
        <v>16</v>
      </c>
      <c r="J428" s="1" t="s">
        <v>57</v>
      </c>
      <c r="K428" s="4" t="s">
        <v>16</v>
      </c>
      <c r="L428" s="1" t="s">
        <v>23</v>
      </c>
      <c r="M428" s="1" t="s">
        <v>58</v>
      </c>
      <c r="N428" s="7" t="str">
        <f>IFERROR(VLOOKUP(#REF!,'2. Buzzi Admin Only'!N:O,2,0),"")</f>
        <v/>
      </c>
      <c r="O428" s="6" t="str">
        <f>IFERROR(VLOOKUP(K428,'2. Buzzi Admin Only'!Q:R,2,0),"")</f>
        <v/>
      </c>
    </row>
    <row r="429" spans="1:15" ht="15.75" customHeight="1" x14ac:dyDescent="0.25">
      <c r="A429" s="1" t="s">
        <v>1231</v>
      </c>
      <c r="B429" s="1" t="s">
        <v>16</v>
      </c>
      <c r="C429" s="1" t="s">
        <v>16</v>
      </c>
      <c r="D429" s="2" t="s">
        <v>16</v>
      </c>
      <c r="E429" s="1" t="s">
        <v>40</v>
      </c>
      <c r="F429" s="1" t="s">
        <v>20</v>
      </c>
      <c r="G429" s="1" t="s">
        <v>28</v>
      </c>
      <c r="H429" s="1" t="s">
        <v>16</v>
      </c>
      <c r="I429" s="1" t="s">
        <v>16</v>
      </c>
      <c r="J429" s="1" t="s">
        <v>16</v>
      </c>
      <c r="K429" s="4" t="s">
        <v>16</v>
      </c>
      <c r="L429" s="1" t="s">
        <v>23</v>
      </c>
      <c r="M429" s="1" t="s">
        <v>16</v>
      </c>
      <c r="N429" s="7" t="str">
        <f>IFERROR(VLOOKUP(#REF!,'2. Buzzi Admin Only'!N:O,2,0),"")</f>
        <v/>
      </c>
      <c r="O429" s="6" t="str">
        <f>IFERROR(VLOOKUP(K429,'2. Buzzi Admin Only'!Q:R,2,0),"")</f>
        <v/>
      </c>
    </row>
    <row r="430" spans="1:15" ht="15.75" customHeight="1" x14ac:dyDescent="0.25">
      <c r="A430" s="1" t="s">
        <v>1232</v>
      </c>
      <c r="B430" s="1" t="s">
        <v>16</v>
      </c>
      <c r="C430" s="1" t="s">
        <v>145</v>
      </c>
      <c r="D430" s="2" t="s">
        <v>1233</v>
      </c>
      <c r="E430" s="1" t="s">
        <v>19</v>
      </c>
      <c r="F430" s="1" t="s">
        <v>20</v>
      </c>
      <c r="G430" s="1" t="s">
        <v>28</v>
      </c>
      <c r="H430" s="1" t="s">
        <v>16</v>
      </c>
      <c r="I430" s="1" t="s">
        <v>16</v>
      </c>
      <c r="J430" s="1" t="s">
        <v>16</v>
      </c>
      <c r="K430" s="4" t="s">
        <v>16</v>
      </c>
      <c r="L430" s="1" t="s">
        <v>23</v>
      </c>
      <c r="M430" s="1" t="s">
        <v>58</v>
      </c>
      <c r="N430" s="7" t="str">
        <f>IFERROR(VLOOKUP(#REF!,'2. Buzzi Admin Only'!N:O,2,0),"")</f>
        <v/>
      </c>
      <c r="O430" s="6" t="str">
        <f>IFERROR(VLOOKUP(K430,'2. Buzzi Admin Only'!Q:R,2,0),"")</f>
        <v/>
      </c>
    </row>
    <row r="431" spans="1:15" ht="15.75" customHeight="1" x14ac:dyDescent="0.25">
      <c r="A431" s="1" t="s">
        <v>1234</v>
      </c>
      <c r="B431" s="1" t="s">
        <v>138</v>
      </c>
      <c r="C431" s="1" t="s">
        <v>16</v>
      </c>
      <c r="D431" s="2" t="s">
        <v>1032</v>
      </c>
      <c r="E431" s="1" t="s">
        <v>40</v>
      </c>
      <c r="F431" s="1" t="s">
        <v>20</v>
      </c>
      <c r="G431" s="1" t="s">
        <v>21</v>
      </c>
      <c r="H431" s="1" t="s">
        <v>1235</v>
      </c>
      <c r="I431" s="1" t="s">
        <v>16</v>
      </c>
      <c r="J431" s="1" t="s">
        <v>16</v>
      </c>
      <c r="K431" s="4" t="s">
        <v>16</v>
      </c>
      <c r="L431" s="1" t="s">
        <v>23</v>
      </c>
      <c r="M431" s="1" t="s">
        <v>1236</v>
      </c>
      <c r="N431" s="7" t="str">
        <f>IFERROR(VLOOKUP(#REF!,'2. Buzzi Admin Only'!N:O,2,0),"")</f>
        <v/>
      </c>
      <c r="O431" s="6" t="str">
        <f>IFERROR(VLOOKUP(K431,'2. Buzzi Admin Only'!Q:R,2,0),"")</f>
        <v/>
      </c>
    </row>
    <row r="432" spans="1:15" ht="15.75" customHeight="1" x14ac:dyDescent="0.25">
      <c r="A432" s="1" t="s">
        <v>1237</v>
      </c>
      <c r="B432" s="1" t="s">
        <v>138</v>
      </c>
      <c r="C432" s="1" t="s">
        <v>16</v>
      </c>
      <c r="D432" s="2" t="s">
        <v>1238</v>
      </c>
      <c r="E432" s="1" t="s">
        <v>992</v>
      </c>
      <c r="F432" s="1" t="s">
        <v>20</v>
      </c>
      <c r="G432" s="1" t="s">
        <v>21</v>
      </c>
      <c r="H432" s="1" t="s">
        <v>1239</v>
      </c>
      <c r="I432" s="1" t="s">
        <v>16</v>
      </c>
      <c r="J432" s="1" t="s">
        <v>16</v>
      </c>
      <c r="K432" s="4" t="s">
        <v>16</v>
      </c>
      <c r="L432" s="1" t="s">
        <v>23</v>
      </c>
      <c r="M432" s="1" t="s">
        <v>58</v>
      </c>
      <c r="N432" s="7" t="str">
        <f>IFERROR(VLOOKUP(#REF!,'2. Buzzi Admin Only'!N:O,2,0),"")</f>
        <v/>
      </c>
      <c r="O432" s="6" t="str">
        <f>IFERROR(VLOOKUP(K432,'2. Buzzi Admin Only'!Q:R,2,0),"")</f>
        <v/>
      </c>
    </row>
    <row r="433" spans="1:15" ht="15.75" customHeight="1" x14ac:dyDescent="0.25">
      <c r="A433" s="1" t="s">
        <v>1240</v>
      </c>
      <c r="B433" s="1" t="s">
        <v>158</v>
      </c>
      <c r="C433" s="1" t="s">
        <v>16</v>
      </c>
      <c r="D433" s="2" t="s">
        <v>1241</v>
      </c>
      <c r="E433" s="1" t="s">
        <v>1242</v>
      </c>
      <c r="F433" s="1" t="s">
        <v>20</v>
      </c>
      <c r="G433" s="1" t="s">
        <v>44</v>
      </c>
      <c r="H433" s="1" t="s">
        <v>16</v>
      </c>
      <c r="I433" s="1" t="s">
        <v>16</v>
      </c>
      <c r="J433" s="1" t="s">
        <v>57</v>
      </c>
      <c r="K433" s="4" t="s">
        <v>16</v>
      </c>
      <c r="L433" s="1" t="s">
        <v>23</v>
      </c>
      <c r="M433" s="1" t="s">
        <v>58</v>
      </c>
      <c r="N433" s="7" t="str">
        <f>IFERROR(VLOOKUP(#REF!,'2. Buzzi Admin Only'!N:O,2,0),"")</f>
        <v/>
      </c>
      <c r="O433" s="6" t="str">
        <f>IFERROR(VLOOKUP(K433,'2. Buzzi Admin Only'!Q:R,2,0),"")</f>
        <v/>
      </c>
    </row>
    <row r="434" spans="1:15" ht="15.75" customHeight="1" x14ac:dyDescent="0.25">
      <c r="A434" s="1" t="s">
        <v>1243</v>
      </c>
      <c r="B434" s="1" t="s">
        <v>16</v>
      </c>
      <c r="C434" s="1" t="s">
        <v>16</v>
      </c>
      <c r="D434" s="2" t="s">
        <v>1244</v>
      </c>
      <c r="E434" s="1" t="s">
        <v>40</v>
      </c>
      <c r="F434" s="1" t="s">
        <v>20</v>
      </c>
      <c r="G434" s="1" t="s">
        <v>21</v>
      </c>
      <c r="H434" s="1" t="s">
        <v>1245</v>
      </c>
      <c r="I434" s="1" t="s">
        <v>16</v>
      </c>
      <c r="J434" s="1" t="s">
        <v>16</v>
      </c>
      <c r="K434" s="4" t="s">
        <v>16</v>
      </c>
      <c r="L434" s="1" t="s">
        <v>23</v>
      </c>
      <c r="M434" s="1" t="s">
        <v>1246</v>
      </c>
      <c r="N434" s="7" t="str">
        <f>IFERROR(VLOOKUP(#REF!,'2. Buzzi Admin Only'!N:O,2,0),"")</f>
        <v/>
      </c>
      <c r="O434" s="6" t="str">
        <f>IFERROR(VLOOKUP(K434,'2. Buzzi Admin Only'!Q:R,2,0),"")</f>
        <v/>
      </c>
    </row>
    <row r="435" spans="1:15" ht="15.75" customHeight="1" x14ac:dyDescent="0.25">
      <c r="A435" s="1" t="s">
        <v>1247</v>
      </c>
      <c r="B435" s="1" t="s">
        <v>138</v>
      </c>
      <c r="C435" s="1" t="s">
        <v>16</v>
      </c>
      <c r="D435" s="2" t="s">
        <v>777</v>
      </c>
      <c r="E435" s="1" t="s">
        <v>1248</v>
      </c>
      <c r="F435" s="1" t="s">
        <v>20</v>
      </c>
      <c r="G435" s="1" t="s">
        <v>21</v>
      </c>
      <c r="H435" s="1" t="s">
        <v>1249</v>
      </c>
      <c r="I435" s="1" t="s">
        <v>16</v>
      </c>
      <c r="J435" s="1" t="s">
        <v>57</v>
      </c>
      <c r="K435" s="4" t="s">
        <v>16</v>
      </c>
      <c r="L435" s="1" t="s">
        <v>23</v>
      </c>
      <c r="M435" s="1" t="s">
        <v>58</v>
      </c>
      <c r="N435" s="7" t="str">
        <f>IFERROR(VLOOKUP(#REF!,'2. Buzzi Admin Only'!N:O,2,0),"")</f>
        <v/>
      </c>
      <c r="O435" s="6" t="str">
        <f>IFERROR(VLOOKUP(K435,'2. Buzzi Admin Only'!Q:R,2,0),"")</f>
        <v/>
      </c>
    </row>
    <row r="436" spans="1:15" ht="15.75" customHeight="1" x14ac:dyDescent="0.25">
      <c r="A436" s="1" t="s">
        <v>1250</v>
      </c>
      <c r="B436" s="1" t="s">
        <v>16</v>
      </c>
      <c r="C436" s="1" t="s">
        <v>16</v>
      </c>
      <c r="D436" s="2" t="s">
        <v>16</v>
      </c>
      <c r="E436" s="1" t="s">
        <v>40</v>
      </c>
      <c r="F436" s="1" t="s">
        <v>20</v>
      </c>
      <c r="G436" s="1" t="s">
        <v>21</v>
      </c>
      <c r="H436" s="1" t="s">
        <v>16</v>
      </c>
      <c r="I436" s="1" t="s">
        <v>16</v>
      </c>
      <c r="J436" s="1" t="s">
        <v>16</v>
      </c>
      <c r="K436" s="4" t="s">
        <v>16</v>
      </c>
      <c r="L436" s="1" t="s">
        <v>23</v>
      </c>
      <c r="M436" s="1" t="s">
        <v>16</v>
      </c>
      <c r="N436" s="7" t="str">
        <f>IFERROR(VLOOKUP(#REF!,'2. Buzzi Admin Only'!N:O,2,0),"")</f>
        <v/>
      </c>
      <c r="O436" s="6" t="str">
        <f>IFERROR(VLOOKUP(K436,'2. Buzzi Admin Only'!Q:R,2,0),"")</f>
        <v/>
      </c>
    </row>
    <row r="437" spans="1:15" ht="15.75" customHeight="1" x14ac:dyDescent="0.25">
      <c r="A437" s="1" t="s">
        <v>1251</v>
      </c>
      <c r="B437" s="1" t="s">
        <v>16</v>
      </c>
      <c r="C437" s="1" t="s">
        <v>16</v>
      </c>
      <c r="D437" s="2" t="s">
        <v>1252</v>
      </c>
      <c r="E437" s="1" t="s">
        <v>1253</v>
      </c>
      <c r="F437" s="1" t="s">
        <v>20</v>
      </c>
      <c r="G437" s="1" t="s">
        <v>21</v>
      </c>
      <c r="H437" s="1" t="s">
        <v>16</v>
      </c>
      <c r="I437" s="1" t="s">
        <v>16</v>
      </c>
      <c r="J437" s="1" t="s">
        <v>16</v>
      </c>
      <c r="K437" s="4" t="s">
        <v>16</v>
      </c>
      <c r="L437" s="1" t="s">
        <v>23</v>
      </c>
      <c r="M437" s="1" t="s">
        <v>1254</v>
      </c>
      <c r="N437" s="7" t="str">
        <f>IFERROR(VLOOKUP(#REF!,'2. Buzzi Admin Only'!N:O,2,0),"")</f>
        <v/>
      </c>
      <c r="O437" s="6" t="str">
        <f>IFERROR(VLOOKUP(K437,'2. Buzzi Admin Only'!Q:R,2,0),"")</f>
        <v/>
      </c>
    </row>
    <row r="438" spans="1:15" ht="15.75" customHeight="1" x14ac:dyDescent="0.25">
      <c r="A438" s="1" t="s">
        <v>1255</v>
      </c>
      <c r="B438" s="1" t="s">
        <v>16</v>
      </c>
      <c r="C438" s="1" t="s">
        <v>16</v>
      </c>
      <c r="D438" s="2" t="s">
        <v>16</v>
      </c>
      <c r="E438" s="1" t="s">
        <v>16</v>
      </c>
      <c r="F438" s="1" t="s">
        <v>16</v>
      </c>
      <c r="G438" s="1" t="s">
        <v>16</v>
      </c>
      <c r="H438" s="1" t="s">
        <v>16</v>
      </c>
      <c r="I438" s="1" t="s">
        <v>16</v>
      </c>
      <c r="J438" s="1" t="s">
        <v>16</v>
      </c>
      <c r="K438" s="4" t="s">
        <v>16</v>
      </c>
      <c r="L438" s="1" t="s">
        <v>16</v>
      </c>
      <c r="M438" s="1" t="s">
        <v>16</v>
      </c>
      <c r="N438" s="7" t="str">
        <f>IFERROR(VLOOKUP(#REF!,'2. Buzzi Admin Only'!N:O,2,0),"")</f>
        <v/>
      </c>
      <c r="O438" s="6" t="str">
        <f>IFERROR(VLOOKUP(K438,'2. Buzzi Admin Only'!Q:R,2,0),"")</f>
        <v/>
      </c>
    </row>
    <row r="439" spans="1:15" ht="15.75" customHeight="1" x14ac:dyDescent="0.25">
      <c r="A439" s="1" t="s">
        <v>1256</v>
      </c>
      <c r="B439" s="1" t="s">
        <v>16</v>
      </c>
      <c r="C439" s="1" t="s">
        <v>16</v>
      </c>
      <c r="D439" s="2" t="s">
        <v>16</v>
      </c>
      <c r="E439" s="1" t="s">
        <v>40</v>
      </c>
      <c r="F439" s="1" t="s">
        <v>20</v>
      </c>
      <c r="G439" s="1" t="s">
        <v>28</v>
      </c>
      <c r="H439" s="1" t="s">
        <v>16</v>
      </c>
      <c r="I439" s="1" t="s">
        <v>16</v>
      </c>
      <c r="J439" s="1" t="s">
        <v>16</v>
      </c>
      <c r="K439" s="4" t="s">
        <v>16</v>
      </c>
      <c r="L439" s="1" t="s">
        <v>71</v>
      </c>
      <c r="M439" s="1" t="s">
        <v>16</v>
      </c>
      <c r="N439" s="7" t="str">
        <f>IFERROR(VLOOKUP(#REF!,'2. Buzzi Admin Only'!N:O,2,0),"")</f>
        <v/>
      </c>
      <c r="O439" s="6" t="str">
        <f>IFERROR(VLOOKUP(K439,'2. Buzzi Admin Only'!Q:R,2,0),"")</f>
        <v/>
      </c>
    </row>
    <row r="440" spans="1:15" ht="15.75" customHeight="1" x14ac:dyDescent="0.25">
      <c r="A440" s="1" t="s">
        <v>1257</v>
      </c>
      <c r="B440" s="1" t="s">
        <v>16</v>
      </c>
      <c r="C440" s="1" t="s">
        <v>60</v>
      </c>
      <c r="D440" s="2" t="s">
        <v>1258</v>
      </c>
      <c r="E440" s="1" t="s">
        <v>778</v>
      </c>
      <c r="F440" s="1" t="s">
        <v>20</v>
      </c>
      <c r="G440" s="1" t="s">
        <v>21</v>
      </c>
      <c r="H440" s="1" t="s">
        <v>1259</v>
      </c>
      <c r="I440" s="1" t="s">
        <v>16</v>
      </c>
      <c r="J440" s="1" t="s">
        <v>16</v>
      </c>
      <c r="K440" s="4" t="s">
        <v>16</v>
      </c>
      <c r="L440" s="1" t="s">
        <v>23</v>
      </c>
      <c r="M440" s="1" t="s">
        <v>52</v>
      </c>
      <c r="N440" s="7" t="str">
        <f>IFERROR(VLOOKUP(#REF!,'2. Buzzi Admin Only'!N:O,2,0),"")</f>
        <v/>
      </c>
      <c r="O440" s="6" t="str">
        <f>IFERROR(VLOOKUP(K440,'2. Buzzi Admin Only'!Q:R,2,0),"")</f>
        <v/>
      </c>
    </row>
    <row r="441" spans="1:15" ht="15.75" customHeight="1" x14ac:dyDescent="0.25">
      <c r="A441" s="1" t="s">
        <v>1260</v>
      </c>
      <c r="B441" s="1" t="s">
        <v>16</v>
      </c>
      <c r="C441" s="1" t="s">
        <v>16</v>
      </c>
      <c r="D441" s="2" t="s">
        <v>1261</v>
      </c>
      <c r="E441" s="1" t="s">
        <v>502</v>
      </c>
      <c r="F441" s="1" t="s">
        <v>20</v>
      </c>
      <c r="G441" s="1" t="s">
        <v>28</v>
      </c>
      <c r="H441" s="1" t="s">
        <v>16</v>
      </c>
      <c r="I441" s="1" t="s">
        <v>16</v>
      </c>
      <c r="J441" s="1" t="s">
        <v>16</v>
      </c>
      <c r="K441" s="4" t="s">
        <v>16</v>
      </c>
      <c r="L441" s="1" t="s">
        <v>23</v>
      </c>
      <c r="M441" s="1" t="s">
        <v>1262</v>
      </c>
      <c r="N441" s="7" t="str">
        <f>IFERROR(VLOOKUP(#REF!,'2. Buzzi Admin Only'!N:O,2,0),"")</f>
        <v/>
      </c>
      <c r="O441" s="6" t="str">
        <f>IFERROR(VLOOKUP(K441,'2. Buzzi Admin Only'!Q:R,2,0),"")</f>
        <v/>
      </c>
    </row>
    <row r="442" spans="1:15" ht="15.75" customHeight="1" x14ac:dyDescent="0.25">
      <c r="A442" s="1" t="s">
        <v>1263</v>
      </c>
      <c r="B442" s="1" t="s">
        <v>16</v>
      </c>
      <c r="C442" s="1" t="s">
        <v>16</v>
      </c>
      <c r="D442" s="2" t="s">
        <v>16</v>
      </c>
      <c r="E442" s="1" t="s">
        <v>778</v>
      </c>
      <c r="F442" s="1" t="s">
        <v>20</v>
      </c>
      <c r="G442" s="1" t="s">
        <v>21</v>
      </c>
      <c r="H442" s="1" t="s">
        <v>1264</v>
      </c>
      <c r="I442" s="1" t="s">
        <v>16</v>
      </c>
      <c r="J442" s="1" t="s">
        <v>16</v>
      </c>
      <c r="K442" s="4" t="s">
        <v>16</v>
      </c>
      <c r="L442" s="1" t="s">
        <v>23</v>
      </c>
      <c r="M442" s="1" t="s">
        <v>58</v>
      </c>
      <c r="N442" s="7" t="str">
        <f>IFERROR(VLOOKUP(#REF!,'2. Buzzi Admin Only'!N:O,2,0),"")</f>
        <v/>
      </c>
      <c r="O442" s="6" t="str">
        <f>IFERROR(VLOOKUP(K442,'2. Buzzi Admin Only'!Q:R,2,0),"")</f>
        <v/>
      </c>
    </row>
    <row r="443" spans="1:15" ht="15.75" customHeight="1" x14ac:dyDescent="0.25">
      <c r="A443" s="1" t="s">
        <v>1265</v>
      </c>
      <c r="B443" s="1" t="s">
        <v>16</v>
      </c>
      <c r="C443" s="1" t="s">
        <v>16</v>
      </c>
      <c r="D443" s="2" t="s">
        <v>16</v>
      </c>
      <c r="E443" s="1" t="s">
        <v>40</v>
      </c>
      <c r="F443" s="1" t="s">
        <v>141</v>
      </c>
      <c r="G443" s="1" t="s">
        <v>152</v>
      </c>
      <c r="H443" s="1" t="s">
        <v>16</v>
      </c>
      <c r="I443" s="1" t="s">
        <v>16</v>
      </c>
      <c r="J443" s="1" t="s">
        <v>16</v>
      </c>
      <c r="K443" s="4" t="s">
        <v>16</v>
      </c>
      <c r="L443" s="1" t="s">
        <v>71</v>
      </c>
      <c r="M443" s="1" t="s">
        <v>16</v>
      </c>
      <c r="N443" s="7" t="str">
        <f>IFERROR(VLOOKUP(#REF!,'2. Buzzi Admin Only'!N:O,2,0),"")</f>
        <v/>
      </c>
      <c r="O443" s="6" t="str">
        <f>IFERROR(VLOOKUP(K443,'2. Buzzi Admin Only'!Q:R,2,0),"")</f>
        <v/>
      </c>
    </row>
    <row r="444" spans="1:15" ht="15.75" customHeight="1" x14ac:dyDescent="0.25">
      <c r="A444" s="1" t="s">
        <v>1266</v>
      </c>
      <c r="B444" s="1" t="s">
        <v>16</v>
      </c>
      <c r="C444" s="1" t="s">
        <v>16</v>
      </c>
      <c r="D444" s="2" t="s">
        <v>16</v>
      </c>
      <c r="E444" s="1" t="s">
        <v>40</v>
      </c>
      <c r="F444" s="1" t="s">
        <v>20</v>
      </c>
      <c r="G444" s="1" t="s">
        <v>28</v>
      </c>
      <c r="H444" s="1" t="s">
        <v>16</v>
      </c>
      <c r="I444" s="1" t="s">
        <v>16</v>
      </c>
      <c r="J444" s="1" t="s">
        <v>16</v>
      </c>
      <c r="K444" s="4" t="s">
        <v>16</v>
      </c>
      <c r="L444" s="1" t="s">
        <v>71</v>
      </c>
      <c r="M444" s="1" t="s">
        <v>16</v>
      </c>
      <c r="N444" s="7" t="str">
        <f>IFERROR(VLOOKUP(#REF!,'2. Buzzi Admin Only'!N:O,2,0),"")</f>
        <v/>
      </c>
      <c r="O444" s="6" t="str">
        <f>IFERROR(VLOOKUP(K444,'2. Buzzi Admin Only'!Q:R,2,0),"")</f>
        <v/>
      </c>
    </row>
    <row r="445" spans="1:15" ht="15.75" customHeight="1" x14ac:dyDescent="0.25">
      <c r="A445" s="1" t="s">
        <v>1267</v>
      </c>
      <c r="B445" s="1" t="s">
        <v>138</v>
      </c>
      <c r="C445" s="1" t="s">
        <v>16</v>
      </c>
      <c r="D445" s="2" t="s">
        <v>16</v>
      </c>
      <c r="E445" s="1" t="s">
        <v>1268</v>
      </c>
      <c r="F445" s="1" t="s">
        <v>20</v>
      </c>
      <c r="G445" s="1" t="s">
        <v>44</v>
      </c>
      <c r="H445" s="1" t="s">
        <v>1269</v>
      </c>
      <c r="I445" s="1" t="s">
        <v>16</v>
      </c>
      <c r="J445" s="1" t="s">
        <v>16</v>
      </c>
      <c r="K445" s="4" t="s">
        <v>16</v>
      </c>
      <c r="L445" s="1" t="s">
        <v>23</v>
      </c>
      <c r="M445" s="1" t="s">
        <v>52</v>
      </c>
      <c r="N445" s="7" t="str">
        <f>IFERROR(VLOOKUP(#REF!,'2. Buzzi Admin Only'!N:O,2,0),"")</f>
        <v/>
      </c>
      <c r="O445" s="6" t="str">
        <f>IFERROR(VLOOKUP(K445,'2. Buzzi Admin Only'!Q:R,2,0),"")</f>
        <v/>
      </c>
    </row>
    <row r="446" spans="1:15" ht="15.75" customHeight="1" x14ac:dyDescent="0.25">
      <c r="A446" s="1" t="s">
        <v>1270</v>
      </c>
      <c r="B446" s="1" t="s">
        <v>16</v>
      </c>
      <c r="C446" s="1" t="s">
        <v>16</v>
      </c>
      <c r="D446" s="2" t="s">
        <v>16</v>
      </c>
      <c r="E446" s="1" t="s">
        <v>40</v>
      </c>
      <c r="F446" s="1" t="s">
        <v>16</v>
      </c>
      <c r="G446" s="1" t="s">
        <v>16</v>
      </c>
      <c r="H446" s="1" t="s">
        <v>16</v>
      </c>
      <c r="I446" s="1" t="s">
        <v>16</v>
      </c>
      <c r="J446" s="1" t="s">
        <v>16</v>
      </c>
      <c r="K446" s="4" t="s">
        <v>16</v>
      </c>
      <c r="L446" s="1" t="s">
        <v>71</v>
      </c>
      <c r="M446" s="1" t="s">
        <v>16</v>
      </c>
      <c r="N446" s="7" t="str">
        <f>IFERROR(VLOOKUP(#REF!,'2. Buzzi Admin Only'!N:O,2,0),"")</f>
        <v/>
      </c>
      <c r="O446" s="6" t="str">
        <f>IFERROR(VLOOKUP(K446,'2. Buzzi Admin Only'!Q:R,2,0),"")</f>
        <v/>
      </c>
    </row>
    <row r="447" spans="1:15" ht="15.75" customHeight="1" x14ac:dyDescent="0.25">
      <c r="A447" s="1" t="s">
        <v>1271</v>
      </c>
      <c r="B447" s="1" t="s">
        <v>16</v>
      </c>
      <c r="C447" s="1" t="s">
        <v>560</v>
      </c>
      <c r="D447" s="2" t="s">
        <v>1272</v>
      </c>
      <c r="E447" s="1" t="s">
        <v>1273</v>
      </c>
      <c r="F447" s="1" t="s">
        <v>20</v>
      </c>
      <c r="G447" s="1" t="s">
        <v>28</v>
      </c>
      <c r="H447" s="1" t="s">
        <v>1274</v>
      </c>
      <c r="I447" s="1" t="s">
        <v>16</v>
      </c>
      <c r="J447" s="1" t="s">
        <v>16</v>
      </c>
      <c r="K447" s="4" t="s">
        <v>16</v>
      </c>
      <c r="L447" s="1" t="s">
        <v>23</v>
      </c>
      <c r="M447" s="1" t="s">
        <v>52</v>
      </c>
      <c r="N447" s="7" t="str">
        <f>IFERROR(VLOOKUP(#REF!,'2. Buzzi Admin Only'!N:O,2,0),"")</f>
        <v/>
      </c>
      <c r="O447" s="6" t="str">
        <f>IFERROR(VLOOKUP(K447,'2. Buzzi Admin Only'!Q:R,2,0),"")</f>
        <v/>
      </c>
    </row>
    <row r="448" spans="1:15" ht="15.75" customHeight="1" x14ac:dyDescent="0.25">
      <c r="A448" s="1" t="s">
        <v>1275</v>
      </c>
      <c r="B448" s="1" t="s">
        <v>16</v>
      </c>
      <c r="C448" s="1" t="s">
        <v>60</v>
      </c>
      <c r="D448" s="2" t="s">
        <v>1276</v>
      </c>
      <c r="E448" s="1" t="s">
        <v>40</v>
      </c>
      <c r="F448" s="1" t="s">
        <v>20</v>
      </c>
      <c r="G448" s="1" t="s">
        <v>44</v>
      </c>
      <c r="H448" s="1" t="s">
        <v>1277</v>
      </c>
      <c r="I448" s="1" t="s">
        <v>16</v>
      </c>
      <c r="J448" s="1" t="s">
        <v>16</v>
      </c>
      <c r="K448" s="4" t="s">
        <v>16</v>
      </c>
      <c r="L448" s="1" t="s">
        <v>23</v>
      </c>
      <c r="M448" s="1" t="s">
        <v>52</v>
      </c>
      <c r="N448" s="7" t="str">
        <f>IFERROR(VLOOKUP(#REF!,'2. Buzzi Admin Only'!N:O,2,0),"")</f>
        <v/>
      </c>
      <c r="O448" s="6" t="str">
        <f>IFERROR(VLOOKUP(K448,'2. Buzzi Admin Only'!Q:R,2,0),"")</f>
        <v/>
      </c>
    </row>
    <row r="449" spans="1:15" ht="15.75" customHeight="1" x14ac:dyDescent="0.25">
      <c r="A449" s="1" t="s">
        <v>1278</v>
      </c>
      <c r="B449" s="1" t="s">
        <v>1126</v>
      </c>
      <c r="C449" s="1" t="s">
        <v>16</v>
      </c>
      <c r="D449" s="2" t="s">
        <v>1279</v>
      </c>
      <c r="E449" s="1" t="s">
        <v>1280</v>
      </c>
      <c r="F449" s="1" t="s">
        <v>20</v>
      </c>
      <c r="G449" s="1" t="s">
        <v>44</v>
      </c>
      <c r="H449" s="1" t="s">
        <v>16</v>
      </c>
      <c r="I449" s="1" t="s">
        <v>16</v>
      </c>
      <c r="J449" s="1" t="s">
        <v>16</v>
      </c>
      <c r="K449" s="4" t="s">
        <v>16</v>
      </c>
      <c r="L449" s="1" t="s">
        <v>23</v>
      </c>
      <c r="M449" s="1" t="s">
        <v>58</v>
      </c>
      <c r="N449" s="7" t="str">
        <f>IFERROR(VLOOKUP(#REF!,'2. Buzzi Admin Only'!N:O,2,0),"")</f>
        <v/>
      </c>
      <c r="O449" s="6" t="str">
        <f>IFERROR(VLOOKUP(K449,'2. Buzzi Admin Only'!Q:R,2,0),"")</f>
        <v/>
      </c>
    </row>
    <row r="450" spans="1:15" ht="15.75" customHeight="1" x14ac:dyDescent="0.25">
      <c r="A450" s="1" t="s">
        <v>1281</v>
      </c>
      <c r="B450" s="1" t="s">
        <v>16</v>
      </c>
      <c r="C450" s="1" t="s">
        <v>16</v>
      </c>
      <c r="D450" s="2" t="s">
        <v>16</v>
      </c>
      <c r="E450" s="1" t="s">
        <v>40</v>
      </c>
      <c r="F450" s="1" t="s">
        <v>20</v>
      </c>
      <c r="G450" s="1" t="s">
        <v>28</v>
      </c>
      <c r="H450" s="1" t="s">
        <v>16</v>
      </c>
      <c r="I450" s="1" t="s">
        <v>16</v>
      </c>
      <c r="J450" s="1" t="s">
        <v>16</v>
      </c>
      <c r="K450" s="10">
        <v>481</v>
      </c>
      <c r="L450" s="1" t="s">
        <v>23</v>
      </c>
      <c r="M450" s="1" t="s">
        <v>16</v>
      </c>
      <c r="N450" s="7" t="str">
        <f>IFERROR(VLOOKUP(#REF!,'2. Buzzi Admin Only'!N:O,2,0),"")</f>
        <v/>
      </c>
      <c r="O450" s="6" t="str">
        <f>IFERROR(VLOOKUP(K450,'2. Buzzi Admin Only'!Q:R,2,0),"")</f>
        <v>Plastics</v>
      </c>
    </row>
    <row r="451" spans="1:15" ht="15.75" customHeight="1" x14ac:dyDescent="0.25">
      <c r="A451" s="1" t="s">
        <v>1282</v>
      </c>
      <c r="B451" s="1" t="s">
        <v>38</v>
      </c>
      <c r="C451" s="1" t="s">
        <v>16</v>
      </c>
      <c r="D451" s="2" t="s">
        <v>1283</v>
      </c>
      <c r="E451" s="1" t="s">
        <v>1284</v>
      </c>
      <c r="F451" s="1" t="s">
        <v>20</v>
      </c>
      <c r="G451" s="1" t="s">
        <v>28</v>
      </c>
      <c r="H451" s="1" t="s">
        <v>1042</v>
      </c>
      <c r="I451" s="1" t="s">
        <v>16</v>
      </c>
      <c r="J451" s="1" t="s">
        <v>57</v>
      </c>
      <c r="K451" s="4" t="s">
        <v>16</v>
      </c>
      <c r="L451" s="1" t="s">
        <v>23</v>
      </c>
      <c r="M451" s="1" t="s">
        <v>58</v>
      </c>
      <c r="N451" s="7" t="str">
        <f>IFERROR(VLOOKUP(#REF!,'2. Buzzi Admin Only'!N:O,2,0),"")</f>
        <v/>
      </c>
      <c r="O451" s="6" t="str">
        <f>IFERROR(VLOOKUP(K451,'2. Buzzi Admin Only'!Q:R,2,0),"")</f>
        <v/>
      </c>
    </row>
    <row r="452" spans="1:15" ht="15.75" customHeight="1" x14ac:dyDescent="0.25">
      <c r="A452" s="1" t="s">
        <v>1285</v>
      </c>
      <c r="B452" s="1" t="s">
        <v>16</v>
      </c>
      <c r="C452" s="1" t="s">
        <v>16</v>
      </c>
      <c r="D452" s="2" t="s">
        <v>16</v>
      </c>
      <c r="E452" s="1" t="s">
        <v>1286</v>
      </c>
      <c r="F452" s="1" t="s">
        <v>20</v>
      </c>
      <c r="G452" s="1" t="s">
        <v>28</v>
      </c>
      <c r="H452" s="1" t="s">
        <v>1287</v>
      </c>
      <c r="I452" s="1" t="s">
        <v>16</v>
      </c>
      <c r="J452" s="1" t="s">
        <v>16</v>
      </c>
      <c r="K452" s="4" t="s">
        <v>16</v>
      </c>
      <c r="L452" s="1" t="s">
        <v>23</v>
      </c>
      <c r="M452" s="1" t="s">
        <v>16</v>
      </c>
      <c r="N452" s="7" t="str">
        <f>IFERROR(VLOOKUP(#REF!,'2. Buzzi Admin Only'!N:O,2,0),"")</f>
        <v/>
      </c>
      <c r="O452" s="6" t="str">
        <f>IFERROR(VLOOKUP(K452,'2. Buzzi Admin Only'!Q:R,2,0),"")</f>
        <v/>
      </c>
    </row>
    <row r="453" spans="1:15" ht="15.75" customHeight="1" x14ac:dyDescent="0.25">
      <c r="A453" s="1" t="s">
        <v>1288</v>
      </c>
      <c r="B453" s="1" t="s">
        <v>16</v>
      </c>
      <c r="C453" s="1" t="s">
        <v>16</v>
      </c>
      <c r="D453" s="2" t="s">
        <v>1289</v>
      </c>
      <c r="E453" s="1" t="s">
        <v>19</v>
      </c>
      <c r="F453" s="1" t="s">
        <v>20</v>
      </c>
      <c r="G453" s="1" t="s">
        <v>28</v>
      </c>
      <c r="H453" s="1" t="s">
        <v>16</v>
      </c>
      <c r="I453" s="1" t="s">
        <v>16</v>
      </c>
      <c r="J453" s="1" t="s">
        <v>16</v>
      </c>
      <c r="K453" s="10">
        <v>300</v>
      </c>
      <c r="L453" s="1" t="s">
        <v>23</v>
      </c>
      <c r="M453" s="1" t="s">
        <v>623</v>
      </c>
      <c r="N453" s="7" t="str">
        <f>IFERROR(VLOOKUP(#REF!,'2. Buzzi Admin Only'!N:O,2,0),"")</f>
        <v/>
      </c>
      <c r="O453" s="6" t="str">
        <f>IFERROR(VLOOKUP(K453,'2. Buzzi Admin Only'!Q:R,2,0),"")</f>
        <v>Clinker Burning</v>
      </c>
    </row>
    <row r="454" spans="1:15" ht="15.75" customHeight="1" x14ac:dyDescent="0.25">
      <c r="A454" s="1" t="s">
        <v>1290</v>
      </c>
      <c r="B454" s="1" t="s">
        <v>38</v>
      </c>
      <c r="C454" s="1" t="s">
        <v>16</v>
      </c>
      <c r="D454" s="2" t="s">
        <v>1291</v>
      </c>
      <c r="E454" s="1" t="s">
        <v>19</v>
      </c>
      <c r="F454" s="1" t="s">
        <v>20</v>
      </c>
      <c r="G454" s="1" t="s">
        <v>28</v>
      </c>
      <c r="H454" s="1" t="s">
        <v>1292</v>
      </c>
      <c r="I454" s="1" t="s">
        <v>16</v>
      </c>
      <c r="J454" s="1" t="s">
        <v>16</v>
      </c>
      <c r="K454" s="4" t="s">
        <v>16</v>
      </c>
      <c r="L454" s="1" t="s">
        <v>23</v>
      </c>
      <c r="M454" s="1" t="s">
        <v>994</v>
      </c>
      <c r="N454" s="7" t="str">
        <f>IFERROR(VLOOKUP(#REF!,'2. Buzzi Admin Only'!N:O,2,0),"")</f>
        <v/>
      </c>
      <c r="O454" s="6" t="str">
        <f>IFERROR(VLOOKUP(K454,'2. Buzzi Admin Only'!Q:R,2,0),"")</f>
        <v/>
      </c>
    </row>
    <row r="455" spans="1:15" ht="15.75" customHeight="1" x14ac:dyDescent="0.25">
      <c r="A455" s="1" t="s">
        <v>1293</v>
      </c>
      <c r="B455" s="1" t="s">
        <v>138</v>
      </c>
      <c r="C455" s="1" t="s">
        <v>16</v>
      </c>
      <c r="D455" s="2" t="s">
        <v>1294</v>
      </c>
      <c r="E455" s="1" t="s">
        <v>19</v>
      </c>
      <c r="F455" s="1" t="s">
        <v>20</v>
      </c>
      <c r="G455" s="1" t="s">
        <v>28</v>
      </c>
      <c r="H455" s="1" t="s">
        <v>1295</v>
      </c>
      <c r="I455" s="1" t="s">
        <v>16</v>
      </c>
      <c r="J455" s="1" t="s">
        <v>16</v>
      </c>
      <c r="K455" s="4" t="s">
        <v>16</v>
      </c>
      <c r="L455" s="1" t="s">
        <v>23</v>
      </c>
      <c r="M455" s="1" t="s">
        <v>16</v>
      </c>
      <c r="N455" s="7" t="str">
        <f>IFERROR(VLOOKUP(#REF!,'2. Buzzi Admin Only'!N:O,2,0),"")</f>
        <v/>
      </c>
      <c r="O455" s="6" t="str">
        <f>IFERROR(VLOOKUP(K455,'2. Buzzi Admin Only'!Q:R,2,0),"")</f>
        <v/>
      </c>
    </row>
    <row r="456" spans="1:15" ht="15.75" customHeight="1" x14ac:dyDescent="0.25">
      <c r="A456" s="1" t="s">
        <v>1296</v>
      </c>
      <c r="B456" s="1" t="s">
        <v>38</v>
      </c>
      <c r="C456" s="1" t="s">
        <v>16</v>
      </c>
      <c r="D456" s="2" t="s">
        <v>1297</v>
      </c>
      <c r="E456" s="1" t="s">
        <v>19</v>
      </c>
      <c r="F456" s="1" t="s">
        <v>20</v>
      </c>
      <c r="G456" s="1" t="s">
        <v>44</v>
      </c>
      <c r="H456" s="1" t="s">
        <v>1298</v>
      </c>
      <c r="I456" s="1" t="s">
        <v>16</v>
      </c>
      <c r="J456" s="1" t="s">
        <v>16</v>
      </c>
      <c r="K456" s="4" t="s">
        <v>16</v>
      </c>
      <c r="L456" s="1" t="s">
        <v>23</v>
      </c>
      <c r="M456" s="1" t="s">
        <v>58</v>
      </c>
      <c r="N456" s="7" t="str">
        <f>IFERROR(VLOOKUP(#REF!,'2. Buzzi Admin Only'!N:O,2,0),"")</f>
        <v/>
      </c>
      <c r="O456" s="6" t="str">
        <f>IFERROR(VLOOKUP(K456,'2. Buzzi Admin Only'!Q:R,2,0),"")</f>
        <v/>
      </c>
    </row>
    <row r="457" spans="1:15" ht="15.75" customHeight="1" x14ac:dyDescent="0.25">
      <c r="A457" s="1" t="s">
        <v>1299</v>
      </c>
      <c r="B457" s="1" t="s">
        <v>16</v>
      </c>
      <c r="C457" s="1" t="s">
        <v>16</v>
      </c>
      <c r="D457" s="2" t="s">
        <v>16</v>
      </c>
      <c r="E457" s="1" t="s">
        <v>1300</v>
      </c>
      <c r="F457" s="1" t="s">
        <v>20</v>
      </c>
      <c r="G457" s="1" t="s">
        <v>28</v>
      </c>
      <c r="H457" s="1" t="s">
        <v>16</v>
      </c>
      <c r="I457" s="1" t="s">
        <v>16</v>
      </c>
      <c r="J457" s="1" t="s">
        <v>16</v>
      </c>
      <c r="K457" s="4" t="s">
        <v>16</v>
      </c>
      <c r="L457" s="1" t="s">
        <v>23</v>
      </c>
      <c r="M457" s="1" t="s">
        <v>16</v>
      </c>
      <c r="N457" s="7" t="str">
        <f>IFERROR(VLOOKUP(#REF!,'2. Buzzi Admin Only'!N:O,2,0),"")</f>
        <v/>
      </c>
      <c r="O457" s="6" t="str">
        <f>IFERROR(VLOOKUP(K457,'2. Buzzi Admin Only'!Q:R,2,0),"")</f>
        <v/>
      </c>
    </row>
    <row r="458" spans="1:15" ht="15.75" customHeight="1" x14ac:dyDescent="0.25">
      <c r="A458" s="1" t="s">
        <v>1301</v>
      </c>
      <c r="B458" s="1" t="s">
        <v>38</v>
      </c>
      <c r="C458" s="1" t="s">
        <v>16</v>
      </c>
      <c r="D458" s="2" t="s">
        <v>1302</v>
      </c>
      <c r="E458" s="1" t="s">
        <v>19</v>
      </c>
      <c r="F458" s="1" t="s">
        <v>20</v>
      </c>
      <c r="G458" s="1" t="s">
        <v>21</v>
      </c>
      <c r="H458" s="1" t="s">
        <v>1303</v>
      </c>
      <c r="I458" s="1" t="s">
        <v>16</v>
      </c>
      <c r="J458" s="1" t="s">
        <v>16</v>
      </c>
      <c r="K458" s="4" t="s">
        <v>16</v>
      </c>
      <c r="L458" s="1" t="s">
        <v>23</v>
      </c>
      <c r="M458" s="1" t="s">
        <v>58</v>
      </c>
      <c r="N458" s="7" t="str">
        <f>IFERROR(VLOOKUP(#REF!,'2. Buzzi Admin Only'!N:O,2,0),"")</f>
        <v/>
      </c>
      <c r="O458" s="6" t="str">
        <f>IFERROR(VLOOKUP(K458,'2. Buzzi Admin Only'!Q:R,2,0),"")</f>
        <v/>
      </c>
    </row>
    <row r="459" spans="1:15" ht="15.75" customHeight="1" x14ac:dyDescent="0.25">
      <c r="A459" s="1" t="s">
        <v>1304</v>
      </c>
      <c r="B459" s="1" t="s">
        <v>16</v>
      </c>
      <c r="C459" s="1" t="s">
        <v>16</v>
      </c>
      <c r="D459" s="2" t="s">
        <v>16</v>
      </c>
      <c r="E459" s="1" t="s">
        <v>40</v>
      </c>
      <c r="F459" s="1" t="s">
        <v>16</v>
      </c>
      <c r="G459" s="1" t="s">
        <v>16</v>
      </c>
      <c r="H459" s="1" t="s">
        <v>16</v>
      </c>
      <c r="I459" s="1" t="s">
        <v>16</v>
      </c>
      <c r="J459" s="1" t="s">
        <v>16</v>
      </c>
      <c r="K459" s="4" t="s">
        <v>16</v>
      </c>
      <c r="L459" s="1" t="s">
        <v>71</v>
      </c>
      <c r="M459" s="1" t="s">
        <v>16</v>
      </c>
      <c r="N459" s="7" t="str">
        <f>IFERROR(VLOOKUP(#REF!,'2. Buzzi Admin Only'!N:O,2,0),"")</f>
        <v/>
      </c>
      <c r="O459" s="6" t="str">
        <f>IFERROR(VLOOKUP(K459,'2. Buzzi Admin Only'!Q:R,2,0),"")</f>
        <v/>
      </c>
    </row>
    <row r="460" spans="1:15" ht="15.75" customHeight="1" x14ac:dyDescent="0.25">
      <c r="A460" s="1" t="s">
        <v>1305</v>
      </c>
      <c r="B460" s="1" t="s">
        <v>38</v>
      </c>
      <c r="C460" s="1" t="s">
        <v>16</v>
      </c>
      <c r="D460" s="2" t="s">
        <v>1306</v>
      </c>
      <c r="E460" s="1" t="s">
        <v>40</v>
      </c>
      <c r="F460" s="1" t="s">
        <v>20</v>
      </c>
      <c r="G460" s="1" t="s">
        <v>21</v>
      </c>
      <c r="H460" s="1" t="s">
        <v>1307</v>
      </c>
      <c r="I460" s="1" t="s">
        <v>16</v>
      </c>
      <c r="J460" s="1" t="s">
        <v>16</v>
      </c>
      <c r="K460" s="4" t="s">
        <v>16</v>
      </c>
      <c r="L460" s="1" t="s">
        <v>23</v>
      </c>
      <c r="M460" s="1" t="s">
        <v>1308</v>
      </c>
      <c r="N460" s="7" t="str">
        <f>IFERROR(VLOOKUP(#REF!,'2. Buzzi Admin Only'!N:O,2,0),"")</f>
        <v/>
      </c>
      <c r="O460" s="6" t="str">
        <f>IFERROR(VLOOKUP(K460,'2. Buzzi Admin Only'!Q:R,2,0),"")</f>
        <v/>
      </c>
    </row>
    <row r="461" spans="1:15" ht="15.75" customHeight="1" x14ac:dyDescent="0.25">
      <c r="A461" s="1" t="s">
        <v>1309</v>
      </c>
      <c r="B461" s="1" t="s">
        <v>138</v>
      </c>
      <c r="C461" s="1" t="s">
        <v>16</v>
      </c>
      <c r="D461" s="2" t="s">
        <v>1241</v>
      </c>
      <c r="E461" s="1" t="s">
        <v>1248</v>
      </c>
      <c r="F461" s="1" t="s">
        <v>20</v>
      </c>
      <c r="G461" s="1" t="s">
        <v>21</v>
      </c>
      <c r="H461" s="1" t="s">
        <v>16</v>
      </c>
      <c r="I461" s="1" t="s">
        <v>16</v>
      </c>
      <c r="J461" s="1" t="s">
        <v>57</v>
      </c>
      <c r="K461" s="4" t="s">
        <v>16</v>
      </c>
      <c r="L461" s="1" t="s">
        <v>23</v>
      </c>
      <c r="M461" s="1" t="s">
        <v>58</v>
      </c>
      <c r="N461" s="7" t="str">
        <f>IFERROR(VLOOKUP(#REF!,'2. Buzzi Admin Only'!N:O,2,0),"")</f>
        <v/>
      </c>
      <c r="O461" s="6" t="str">
        <f>IFERROR(VLOOKUP(K461,'2. Buzzi Admin Only'!Q:R,2,0),"")</f>
        <v/>
      </c>
    </row>
    <row r="462" spans="1:15" ht="15.75" customHeight="1" x14ac:dyDescent="0.25">
      <c r="A462" s="1" t="s">
        <v>1310</v>
      </c>
      <c r="B462" s="1" t="s">
        <v>16</v>
      </c>
      <c r="C462" s="1" t="s">
        <v>16</v>
      </c>
      <c r="D462" s="2" t="s">
        <v>16</v>
      </c>
      <c r="E462" s="1" t="s">
        <v>40</v>
      </c>
      <c r="F462" s="1" t="s">
        <v>16</v>
      </c>
      <c r="G462" s="1" t="s">
        <v>16</v>
      </c>
      <c r="H462" s="1" t="s">
        <v>1311</v>
      </c>
      <c r="I462" s="1" t="s">
        <v>16</v>
      </c>
      <c r="J462" s="1" t="s">
        <v>16</v>
      </c>
      <c r="K462" s="4" t="s">
        <v>16</v>
      </c>
      <c r="L462" s="1" t="s">
        <v>71</v>
      </c>
      <c r="M462" s="1" t="s">
        <v>16</v>
      </c>
      <c r="N462" s="7" t="str">
        <f>IFERROR(VLOOKUP(#REF!,'2. Buzzi Admin Only'!N:O,2,0),"")</f>
        <v/>
      </c>
      <c r="O462" s="6" t="str">
        <f>IFERROR(VLOOKUP(K462,'2. Buzzi Admin Only'!Q:R,2,0),"")</f>
        <v/>
      </c>
    </row>
    <row r="463" spans="1:15" ht="15.75" customHeight="1" x14ac:dyDescent="0.25">
      <c r="A463" s="1" t="s">
        <v>1312</v>
      </c>
      <c r="B463" s="1" t="s">
        <v>158</v>
      </c>
      <c r="C463" s="1" t="s">
        <v>145</v>
      </c>
      <c r="D463" s="2" t="s">
        <v>1313</v>
      </c>
      <c r="E463" s="1" t="s">
        <v>19</v>
      </c>
      <c r="F463" s="1" t="s">
        <v>20</v>
      </c>
      <c r="G463" s="1" t="s">
        <v>28</v>
      </c>
      <c r="H463" s="1" t="s">
        <v>1314</v>
      </c>
      <c r="I463" s="1" t="s">
        <v>16</v>
      </c>
      <c r="J463" s="1" t="s">
        <v>16</v>
      </c>
      <c r="K463" s="4" t="s">
        <v>16</v>
      </c>
      <c r="L463" s="1" t="s">
        <v>23</v>
      </c>
      <c r="M463" s="1" t="s">
        <v>58</v>
      </c>
      <c r="N463" s="7" t="str">
        <f>IFERROR(VLOOKUP(#REF!,'2. Buzzi Admin Only'!N:O,2,0),"")</f>
        <v/>
      </c>
      <c r="O463" s="6" t="str">
        <f>IFERROR(VLOOKUP(K463,'2. Buzzi Admin Only'!Q:R,2,0),"")</f>
        <v/>
      </c>
    </row>
    <row r="464" spans="1:15" ht="15.75" customHeight="1" x14ac:dyDescent="0.25">
      <c r="A464" s="1" t="s">
        <v>1315</v>
      </c>
      <c r="B464" s="1" t="s">
        <v>16</v>
      </c>
      <c r="C464" s="1" t="s">
        <v>60</v>
      </c>
      <c r="D464" s="2" t="s">
        <v>1316</v>
      </c>
      <c r="E464" s="1" t="s">
        <v>1317</v>
      </c>
      <c r="F464" s="1" t="s">
        <v>20</v>
      </c>
      <c r="G464" s="1" t="s">
        <v>44</v>
      </c>
      <c r="H464" s="1" t="s">
        <v>16</v>
      </c>
      <c r="I464" s="1" t="s">
        <v>16</v>
      </c>
      <c r="J464" s="1" t="s">
        <v>16</v>
      </c>
      <c r="K464" s="4" t="s">
        <v>16</v>
      </c>
      <c r="L464" s="1" t="s">
        <v>23</v>
      </c>
      <c r="M464" s="1" t="s">
        <v>52</v>
      </c>
      <c r="N464" s="7" t="str">
        <f>IFERROR(VLOOKUP(#REF!,'2. Buzzi Admin Only'!N:O,2,0),"")</f>
        <v/>
      </c>
      <c r="O464" s="6" t="str">
        <f>IFERROR(VLOOKUP(K464,'2. Buzzi Admin Only'!Q:R,2,0),"")</f>
        <v/>
      </c>
    </row>
    <row r="465" spans="1:15" ht="15.75" customHeight="1" x14ac:dyDescent="0.25">
      <c r="A465" s="1" t="s">
        <v>1318</v>
      </c>
      <c r="B465" s="1" t="s">
        <v>16</v>
      </c>
      <c r="C465" s="1" t="s">
        <v>16</v>
      </c>
      <c r="D465" s="2" t="s">
        <v>16</v>
      </c>
      <c r="E465" s="1" t="s">
        <v>40</v>
      </c>
      <c r="F465" s="1" t="s">
        <v>20</v>
      </c>
      <c r="G465" s="1" t="s">
        <v>21</v>
      </c>
      <c r="H465" s="1" t="s">
        <v>16</v>
      </c>
      <c r="I465" s="1" t="s">
        <v>16</v>
      </c>
      <c r="J465" s="1" t="s">
        <v>16</v>
      </c>
      <c r="K465" s="4" t="s">
        <v>16</v>
      </c>
      <c r="L465" s="1" t="s">
        <v>23</v>
      </c>
      <c r="M465" s="1" t="s">
        <v>16</v>
      </c>
      <c r="N465" s="7" t="str">
        <f>IFERROR(VLOOKUP(#REF!,'2. Buzzi Admin Only'!N:O,2,0),"")</f>
        <v/>
      </c>
      <c r="O465" s="6" t="str">
        <f>IFERROR(VLOOKUP(K465,'2. Buzzi Admin Only'!Q:R,2,0),"")</f>
        <v/>
      </c>
    </row>
    <row r="466" spans="1:15" ht="15.75" customHeight="1" x14ac:dyDescent="0.25">
      <c r="A466" s="1" t="s">
        <v>1319</v>
      </c>
      <c r="B466" s="1" t="s">
        <v>158</v>
      </c>
      <c r="C466" s="1" t="s">
        <v>16</v>
      </c>
      <c r="D466" s="2" t="s">
        <v>1062</v>
      </c>
      <c r="E466" s="1" t="s">
        <v>1248</v>
      </c>
      <c r="F466" s="1" t="s">
        <v>20</v>
      </c>
      <c r="G466" s="1" t="s">
        <v>21</v>
      </c>
      <c r="H466" s="1" t="s">
        <v>1042</v>
      </c>
      <c r="I466" s="1" t="s">
        <v>16</v>
      </c>
      <c r="J466" s="1" t="s">
        <v>57</v>
      </c>
      <c r="K466" s="4" t="s">
        <v>16</v>
      </c>
      <c r="L466" s="1" t="s">
        <v>23</v>
      </c>
      <c r="M466" s="1" t="s">
        <v>58</v>
      </c>
      <c r="N466" s="7" t="str">
        <f>IFERROR(VLOOKUP(#REF!,'2. Buzzi Admin Only'!N:O,2,0),"")</f>
        <v/>
      </c>
      <c r="O466" s="6" t="str">
        <f>IFERROR(VLOOKUP(K466,'2. Buzzi Admin Only'!Q:R,2,0),"")</f>
        <v/>
      </c>
    </row>
    <row r="467" spans="1:15" ht="15.75" customHeight="1" x14ac:dyDescent="0.25">
      <c r="A467" s="1" t="s">
        <v>1320</v>
      </c>
      <c r="B467" s="1" t="s">
        <v>16</v>
      </c>
      <c r="C467" s="1" t="s">
        <v>16</v>
      </c>
      <c r="D467" s="2" t="s">
        <v>16</v>
      </c>
      <c r="E467" s="1" t="s">
        <v>40</v>
      </c>
      <c r="F467" s="1" t="s">
        <v>16</v>
      </c>
      <c r="G467" s="1" t="s">
        <v>16</v>
      </c>
      <c r="H467" s="1" t="s">
        <v>16</v>
      </c>
      <c r="I467" s="1" t="s">
        <v>16</v>
      </c>
      <c r="J467" s="1" t="s">
        <v>16</v>
      </c>
      <c r="K467" s="4" t="s">
        <v>16</v>
      </c>
      <c r="L467" s="1" t="s">
        <v>71</v>
      </c>
      <c r="M467" s="1" t="s">
        <v>16</v>
      </c>
      <c r="N467" s="7" t="str">
        <f>IFERROR(VLOOKUP(#REF!,'2. Buzzi Admin Only'!N:O,2,0),"")</f>
        <v/>
      </c>
      <c r="O467" s="6" t="str">
        <f>IFERROR(VLOOKUP(K467,'2. Buzzi Admin Only'!Q:R,2,0),"")</f>
        <v/>
      </c>
    </row>
    <row r="468" spans="1:15" ht="15.75" customHeight="1" x14ac:dyDescent="0.25">
      <c r="A468" s="1" t="s">
        <v>1321</v>
      </c>
      <c r="B468" s="1" t="s">
        <v>138</v>
      </c>
      <c r="C468" s="1" t="s">
        <v>16</v>
      </c>
      <c r="D468" s="2" t="s">
        <v>830</v>
      </c>
      <c r="E468" s="1" t="s">
        <v>40</v>
      </c>
      <c r="F468" s="1" t="s">
        <v>20</v>
      </c>
      <c r="G468" s="1" t="s">
        <v>70</v>
      </c>
      <c r="H468" s="1" t="s">
        <v>16</v>
      </c>
      <c r="I468" s="1" t="s">
        <v>16</v>
      </c>
      <c r="J468" s="1" t="s">
        <v>16</v>
      </c>
      <c r="K468" s="4" t="s">
        <v>16</v>
      </c>
      <c r="L468" s="1" t="s">
        <v>23</v>
      </c>
      <c r="M468" s="1" t="s">
        <v>16</v>
      </c>
      <c r="N468" s="7" t="str">
        <f>IFERROR(VLOOKUP(#REF!,'2. Buzzi Admin Only'!N:O,2,0),"")</f>
        <v/>
      </c>
      <c r="O468" s="6" t="str">
        <f>IFERROR(VLOOKUP(K468,'2. Buzzi Admin Only'!Q:R,2,0),"")</f>
        <v/>
      </c>
    </row>
    <row r="469" spans="1:15" ht="15.75" customHeight="1" x14ac:dyDescent="0.25">
      <c r="A469" s="1" t="s">
        <v>1322</v>
      </c>
      <c r="B469" s="1" t="s">
        <v>16</v>
      </c>
      <c r="C469" s="1" t="s">
        <v>16</v>
      </c>
      <c r="D469" s="2" t="s">
        <v>16</v>
      </c>
      <c r="E469" s="1" t="s">
        <v>1323</v>
      </c>
      <c r="F469" s="1" t="s">
        <v>20</v>
      </c>
      <c r="G469" s="1" t="s">
        <v>28</v>
      </c>
      <c r="H469" s="1" t="s">
        <v>16</v>
      </c>
      <c r="I469" s="1" t="s">
        <v>16</v>
      </c>
      <c r="J469" s="1" t="s">
        <v>16</v>
      </c>
      <c r="K469" s="4" t="s">
        <v>16</v>
      </c>
      <c r="L469" s="1" t="s">
        <v>71</v>
      </c>
      <c r="M469" s="1" t="s">
        <v>16</v>
      </c>
      <c r="N469" s="7" t="str">
        <f>IFERROR(VLOOKUP(#REF!,'2. Buzzi Admin Only'!N:O,2,0),"")</f>
        <v/>
      </c>
      <c r="O469" s="6" t="str">
        <f>IFERROR(VLOOKUP(K469,'2. Buzzi Admin Only'!Q:R,2,0),"")</f>
        <v/>
      </c>
    </row>
    <row r="470" spans="1:15" ht="15.75" customHeight="1" x14ac:dyDescent="0.25">
      <c r="A470" s="1" t="s">
        <v>1324</v>
      </c>
      <c r="B470" s="1" t="s">
        <v>16</v>
      </c>
      <c r="C470" s="1" t="s">
        <v>16</v>
      </c>
      <c r="D470" s="2" t="s">
        <v>862</v>
      </c>
      <c r="E470" s="1" t="s">
        <v>1325</v>
      </c>
      <c r="F470" s="1" t="s">
        <v>20</v>
      </c>
      <c r="G470" s="1" t="s">
        <v>44</v>
      </c>
      <c r="H470" s="1" t="s">
        <v>16</v>
      </c>
      <c r="I470" s="1" t="s">
        <v>16</v>
      </c>
      <c r="J470" s="1" t="s">
        <v>16</v>
      </c>
      <c r="K470" s="4" t="s">
        <v>16</v>
      </c>
      <c r="L470" s="1" t="s">
        <v>23</v>
      </c>
      <c r="M470" s="1" t="s">
        <v>68</v>
      </c>
      <c r="N470" s="7" t="str">
        <f>IFERROR(VLOOKUP(#REF!,'2. Buzzi Admin Only'!N:O,2,0),"")</f>
        <v/>
      </c>
      <c r="O470" s="6" t="str">
        <f>IFERROR(VLOOKUP(K470,'2. Buzzi Admin Only'!Q:R,2,0),"")</f>
        <v/>
      </c>
    </row>
    <row r="471" spans="1:15" ht="15.75" customHeight="1" x14ac:dyDescent="0.25">
      <c r="A471" s="1" t="s">
        <v>1326</v>
      </c>
      <c r="B471" s="1" t="s">
        <v>138</v>
      </c>
      <c r="C471" s="1" t="s">
        <v>60</v>
      </c>
      <c r="D471" s="2" t="s">
        <v>1048</v>
      </c>
      <c r="E471" s="1" t="s">
        <v>1327</v>
      </c>
      <c r="F471" s="1" t="s">
        <v>20</v>
      </c>
      <c r="G471" s="1" t="s">
        <v>21</v>
      </c>
      <c r="H471" s="1" t="s">
        <v>1328</v>
      </c>
      <c r="I471" s="1" t="s">
        <v>16</v>
      </c>
      <c r="J471" s="1" t="s">
        <v>16</v>
      </c>
      <c r="K471" s="4" t="s">
        <v>16</v>
      </c>
      <c r="L471" s="1" t="s">
        <v>23</v>
      </c>
      <c r="M471" s="1" t="s">
        <v>68</v>
      </c>
      <c r="N471" s="7" t="str">
        <f>IFERROR(VLOOKUP(#REF!,'2. Buzzi Admin Only'!N:O,2,0),"")</f>
        <v/>
      </c>
      <c r="O471" s="6" t="str">
        <f>IFERROR(VLOOKUP(K471,'2. Buzzi Admin Only'!Q:R,2,0),"")</f>
        <v/>
      </c>
    </row>
    <row r="472" spans="1:15" ht="15.75" customHeight="1" x14ac:dyDescent="0.25">
      <c r="A472" s="1" t="s">
        <v>1329</v>
      </c>
      <c r="B472" s="1" t="s">
        <v>138</v>
      </c>
      <c r="C472" s="1" t="s">
        <v>16</v>
      </c>
      <c r="D472" s="2" t="s">
        <v>1330</v>
      </c>
      <c r="E472" s="1" t="s">
        <v>40</v>
      </c>
      <c r="F472" s="1" t="s">
        <v>20</v>
      </c>
      <c r="G472" s="1" t="s">
        <v>21</v>
      </c>
      <c r="H472" s="1" t="s">
        <v>16</v>
      </c>
      <c r="I472" s="1" t="s">
        <v>16</v>
      </c>
      <c r="J472" s="1" t="s">
        <v>16</v>
      </c>
      <c r="K472" s="4" t="s">
        <v>16</v>
      </c>
      <c r="L472" s="1" t="s">
        <v>23</v>
      </c>
      <c r="M472" s="1" t="s">
        <v>16</v>
      </c>
      <c r="N472" s="7" t="str">
        <f>IFERROR(VLOOKUP(#REF!,'2. Buzzi Admin Only'!N:O,2,0),"")</f>
        <v/>
      </c>
      <c r="O472" s="6" t="str">
        <f>IFERROR(VLOOKUP(K472,'2. Buzzi Admin Only'!Q:R,2,0),"")</f>
        <v/>
      </c>
    </row>
    <row r="473" spans="1:15" ht="15.75" customHeight="1" x14ac:dyDescent="0.25">
      <c r="A473" s="1" t="s">
        <v>1331</v>
      </c>
      <c r="B473" s="1" t="s">
        <v>138</v>
      </c>
      <c r="C473" s="1" t="s">
        <v>16</v>
      </c>
      <c r="D473" s="2" t="s">
        <v>1332</v>
      </c>
      <c r="E473" s="1" t="s">
        <v>40</v>
      </c>
      <c r="F473" s="1" t="s">
        <v>20</v>
      </c>
      <c r="G473" s="1" t="s">
        <v>70</v>
      </c>
      <c r="H473" s="1" t="s">
        <v>16</v>
      </c>
      <c r="I473" s="1" t="s">
        <v>16</v>
      </c>
      <c r="J473" s="1" t="s">
        <v>16</v>
      </c>
      <c r="K473" s="4" t="s">
        <v>16</v>
      </c>
      <c r="L473" s="1" t="s">
        <v>23</v>
      </c>
      <c r="M473" s="1" t="s">
        <v>16</v>
      </c>
      <c r="N473" s="7" t="str">
        <f>IFERROR(VLOOKUP(#REF!,'2. Buzzi Admin Only'!N:O,2,0),"")</f>
        <v/>
      </c>
      <c r="O473" s="6" t="str">
        <f>IFERROR(VLOOKUP(K473,'2. Buzzi Admin Only'!Q:R,2,0),"")</f>
        <v/>
      </c>
    </row>
    <row r="474" spans="1:15" ht="15.75" customHeight="1" x14ac:dyDescent="0.25">
      <c r="A474" s="1" t="s">
        <v>1333</v>
      </c>
      <c r="B474" s="1" t="s">
        <v>16</v>
      </c>
      <c r="C474" s="1" t="s">
        <v>16</v>
      </c>
      <c r="D474" s="2" t="s">
        <v>16</v>
      </c>
      <c r="E474" s="1" t="s">
        <v>40</v>
      </c>
      <c r="F474" s="1" t="s">
        <v>16</v>
      </c>
      <c r="G474" s="1" t="s">
        <v>16</v>
      </c>
      <c r="H474" s="1" t="s">
        <v>16</v>
      </c>
      <c r="I474" s="1" t="s">
        <v>16</v>
      </c>
      <c r="J474" s="1" t="s">
        <v>16</v>
      </c>
      <c r="K474" s="4" t="s">
        <v>16</v>
      </c>
      <c r="L474" s="1" t="s">
        <v>71</v>
      </c>
      <c r="M474" s="1" t="s">
        <v>16</v>
      </c>
      <c r="N474" s="7" t="str">
        <f>IFERROR(VLOOKUP(#REF!,'2. Buzzi Admin Only'!N:O,2,0),"")</f>
        <v/>
      </c>
      <c r="O474" s="6" t="str">
        <f>IFERROR(VLOOKUP(K474,'2. Buzzi Admin Only'!Q:R,2,0),"")</f>
        <v/>
      </c>
    </row>
    <row r="475" spans="1:15" ht="15.75" customHeight="1" x14ac:dyDescent="0.25">
      <c r="A475" s="1" t="s">
        <v>1334</v>
      </c>
      <c r="B475" s="1" t="s">
        <v>38</v>
      </c>
      <c r="C475" s="1" t="s">
        <v>60</v>
      </c>
      <c r="D475" s="2" t="s">
        <v>1335</v>
      </c>
      <c r="E475" s="1" t="s">
        <v>19</v>
      </c>
      <c r="F475" s="1" t="s">
        <v>20</v>
      </c>
      <c r="G475" s="1" t="s">
        <v>28</v>
      </c>
      <c r="H475" s="1" t="s">
        <v>16</v>
      </c>
      <c r="I475" s="1" t="s">
        <v>16</v>
      </c>
      <c r="J475" s="1" t="s">
        <v>16</v>
      </c>
      <c r="K475" s="4" t="s">
        <v>16</v>
      </c>
      <c r="L475" s="1" t="s">
        <v>23</v>
      </c>
      <c r="M475" s="1" t="s">
        <v>58</v>
      </c>
      <c r="N475" s="7" t="str">
        <f>IFERROR(VLOOKUP(#REF!,'2. Buzzi Admin Only'!N:O,2,0),"")</f>
        <v/>
      </c>
      <c r="O475" s="6" t="str">
        <f>IFERROR(VLOOKUP(K475,'2. Buzzi Admin Only'!Q:R,2,0),"")</f>
        <v/>
      </c>
    </row>
    <row r="476" spans="1:15" ht="15.75" customHeight="1" x14ac:dyDescent="0.25">
      <c r="A476" s="1" t="s">
        <v>1336</v>
      </c>
      <c r="B476" s="1" t="s">
        <v>38</v>
      </c>
      <c r="C476" s="1" t="s">
        <v>16</v>
      </c>
      <c r="D476" s="2" t="s">
        <v>1337</v>
      </c>
      <c r="E476" s="1" t="s">
        <v>1338</v>
      </c>
      <c r="F476" s="1" t="s">
        <v>20</v>
      </c>
      <c r="G476" s="1" t="s">
        <v>21</v>
      </c>
      <c r="H476" s="1" t="s">
        <v>1339</v>
      </c>
      <c r="I476" s="1" t="s">
        <v>16</v>
      </c>
      <c r="J476" s="1" t="s">
        <v>16</v>
      </c>
      <c r="K476" s="4" t="s">
        <v>16</v>
      </c>
      <c r="L476" s="1" t="s">
        <v>23</v>
      </c>
      <c r="M476" s="1" t="s">
        <v>58</v>
      </c>
      <c r="N476" s="7" t="str">
        <f>IFERROR(VLOOKUP(#REF!,'2. Buzzi Admin Only'!N:O,2,0),"")</f>
        <v/>
      </c>
      <c r="O476" s="6" t="str">
        <f>IFERROR(VLOOKUP(K476,'2. Buzzi Admin Only'!Q:R,2,0),"")</f>
        <v/>
      </c>
    </row>
    <row r="477" spans="1:15" ht="15.75" customHeight="1" x14ac:dyDescent="0.25">
      <c r="A477" s="1" t="s">
        <v>1340</v>
      </c>
      <c r="B477" s="1" t="s">
        <v>16</v>
      </c>
      <c r="C477" s="1" t="s">
        <v>16</v>
      </c>
      <c r="D477" s="2" t="s">
        <v>16</v>
      </c>
      <c r="E477" s="1" t="s">
        <v>40</v>
      </c>
      <c r="F477" s="1" t="s">
        <v>20</v>
      </c>
      <c r="G477" s="1" t="s">
        <v>28</v>
      </c>
      <c r="H477" s="1" t="s">
        <v>16</v>
      </c>
      <c r="I477" s="1" t="s">
        <v>16</v>
      </c>
      <c r="J477" s="1" t="s">
        <v>16</v>
      </c>
      <c r="K477" s="4" t="s">
        <v>16</v>
      </c>
      <c r="L477" s="1" t="s">
        <v>23</v>
      </c>
      <c r="M477" s="1" t="s">
        <v>16</v>
      </c>
      <c r="N477" s="7" t="str">
        <f>IFERROR(VLOOKUP(#REF!,'2. Buzzi Admin Only'!N:O,2,0),"")</f>
        <v/>
      </c>
      <c r="O477" s="6" t="str">
        <f>IFERROR(VLOOKUP(K477,'2. Buzzi Admin Only'!Q:R,2,0),"")</f>
        <v/>
      </c>
    </row>
    <row r="478" spans="1:15" ht="15.75" customHeight="1" x14ac:dyDescent="0.25">
      <c r="A478" s="1" t="s">
        <v>1341</v>
      </c>
      <c r="B478" s="1" t="s">
        <v>16</v>
      </c>
      <c r="C478" s="1" t="s">
        <v>16</v>
      </c>
      <c r="D478" s="2" t="s">
        <v>835</v>
      </c>
      <c r="E478" s="1" t="s">
        <v>1342</v>
      </c>
      <c r="F478" s="1" t="s">
        <v>20</v>
      </c>
      <c r="G478" s="1" t="s">
        <v>225</v>
      </c>
      <c r="H478" s="1" t="s">
        <v>1343</v>
      </c>
      <c r="I478" s="1" t="s">
        <v>16</v>
      </c>
      <c r="J478" s="1" t="s">
        <v>16</v>
      </c>
      <c r="K478" s="4" t="s">
        <v>16</v>
      </c>
      <c r="L478" s="1" t="s">
        <v>23</v>
      </c>
      <c r="M478" s="1" t="s">
        <v>52</v>
      </c>
      <c r="N478" s="7" t="str">
        <f>IFERROR(VLOOKUP(#REF!,'2. Buzzi Admin Only'!N:O,2,0),"")</f>
        <v/>
      </c>
      <c r="O478" s="6" t="str">
        <f>IFERROR(VLOOKUP(K478,'2. Buzzi Admin Only'!Q:R,2,0),"")</f>
        <v/>
      </c>
    </row>
    <row r="479" spans="1:15" ht="15.75" customHeight="1" x14ac:dyDescent="0.25">
      <c r="A479" s="1" t="s">
        <v>1344</v>
      </c>
      <c r="B479" s="1" t="s">
        <v>138</v>
      </c>
      <c r="C479" s="1" t="s">
        <v>44</v>
      </c>
      <c r="D479" s="2" t="s">
        <v>1345</v>
      </c>
      <c r="E479" s="1" t="s">
        <v>911</v>
      </c>
      <c r="F479" s="1" t="s">
        <v>20</v>
      </c>
      <c r="G479" s="1" t="s">
        <v>21</v>
      </c>
      <c r="H479" s="1" t="s">
        <v>16</v>
      </c>
      <c r="I479" s="1" t="s">
        <v>16</v>
      </c>
      <c r="J479" s="1" t="s">
        <v>16</v>
      </c>
      <c r="K479" s="4" t="s">
        <v>16</v>
      </c>
      <c r="L479" s="1" t="s">
        <v>23</v>
      </c>
      <c r="M479" s="1" t="s">
        <v>58</v>
      </c>
      <c r="N479" s="7" t="str">
        <f>IFERROR(VLOOKUP(#REF!,'2. Buzzi Admin Only'!N:O,2,0),"")</f>
        <v/>
      </c>
      <c r="O479" s="6" t="str">
        <f>IFERROR(VLOOKUP(K479,'2. Buzzi Admin Only'!Q:R,2,0),"")</f>
        <v/>
      </c>
    </row>
    <row r="480" spans="1:15" ht="15.75" customHeight="1" x14ac:dyDescent="0.25">
      <c r="A480" s="1" t="s">
        <v>1346</v>
      </c>
      <c r="B480" s="1" t="s">
        <v>16</v>
      </c>
      <c r="C480" s="1" t="s">
        <v>145</v>
      </c>
      <c r="D480" s="2" t="s">
        <v>707</v>
      </c>
      <c r="E480" s="1" t="s">
        <v>1347</v>
      </c>
      <c r="F480" s="1" t="s">
        <v>20</v>
      </c>
      <c r="G480" s="1" t="s">
        <v>21</v>
      </c>
      <c r="H480" s="1" t="s">
        <v>16</v>
      </c>
      <c r="I480" s="1" t="s">
        <v>16</v>
      </c>
      <c r="J480" s="1" t="s">
        <v>16</v>
      </c>
      <c r="K480" s="4" t="s">
        <v>16</v>
      </c>
      <c r="L480" s="1" t="s">
        <v>23</v>
      </c>
      <c r="M480" s="1" t="s">
        <v>1348</v>
      </c>
      <c r="N480" s="7" t="str">
        <f>IFERROR(VLOOKUP(#REF!,'2. Buzzi Admin Only'!N:O,2,0),"")</f>
        <v/>
      </c>
      <c r="O480" s="6" t="str">
        <f>IFERROR(VLOOKUP(K480,'2. Buzzi Admin Only'!Q:R,2,0),"")</f>
        <v/>
      </c>
    </row>
    <row r="481" spans="1:15" ht="15.75" customHeight="1" x14ac:dyDescent="0.25">
      <c r="A481" s="1" t="s">
        <v>1349</v>
      </c>
      <c r="B481" s="1" t="s">
        <v>158</v>
      </c>
      <c r="C481" s="1" t="s">
        <v>16</v>
      </c>
      <c r="D481" s="2" t="s">
        <v>1216</v>
      </c>
      <c r="E481" s="1" t="s">
        <v>16</v>
      </c>
      <c r="F481" s="1" t="s">
        <v>16</v>
      </c>
      <c r="G481" s="1" t="s">
        <v>16</v>
      </c>
      <c r="H481" s="1" t="s">
        <v>16</v>
      </c>
      <c r="I481" s="1" t="s">
        <v>16</v>
      </c>
      <c r="J481" s="1" t="s">
        <v>16</v>
      </c>
      <c r="K481" s="4" t="s">
        <v>16</v>
      </c>
      <c r="L481" s="1" t="s">
        <v>23</v>
      </c>
      <c r="M481" s="1" t="s">
        <v>16</v>
      </c>
      <c r="N481" s="7" t="str">
        <f>IFERROR(VLOOKUP(#REF!,'2. Buzzi Admin Only'!N:O,2,0),"")</f>
        <v/>
      </c>
      <c r="O481" s="6" t="str">
        <f>IFERROR(VLOOKUP(K481,'2. Buzzi Admin Only'!Q:R,2,0),"")</f>
        <v/>
      </c>
    </row>
    <row r="482" spans="1:15" ht="15.75" customHeight="1" x14ac:dyDescent="0.25">
      <c r="A482" s="1" t="s">
        <v>1350</v>
      </c>
      <c r="B482" s="1" t="s">
        <v>138</v>
      </c>
      <c r="C482" s="1" t="s">
        <v>16</v>
      </c>
      <c r="D482" s="2" t="s">
        <v>1351</v>
      </c>
      <c r="E482" s="1" t="s">
        <v>40</v>
      </c>
      <c r="F482" s="1" t="s">
        <v>20</v>
      </c>
      <c r="G482" s="1" t="s">
        <v>21</v>
      </c>
      <c r="H482" s="1" t="s">
        <v>1352</v>
      </c>
      <c r="I482" s="1" t="s">
        <v>16</v>
      </c>
      <c r="J482" s="1" t="s">
        <v>16</v>
      </c>
      <c r="K482" s="4" t="s">
        <v>16</v>
      </c>
      <c r="L482" s="1" t="s">
        <v>23</v>
      </c>
      <c r="M482" s="1" t="s">
        <v>1353</v>
      </c>
      <c r="N482" s="7" t="str">
        <f>IFERROR(VLOOKUP(#REF!,'2. Buzzi Admin Only'!N:O,2,0),"")</f>
        <v/>
      </c>
      <c r="O482" s="6" t="str">
        <f>IFERROR(VLOOKUP(K482,'2. Buzzi Admin Only'!Q:R,2,0),"")</f>
        <v/>
      </c>
    </row>
    <row r="483" spans="1:15" ht="15.75" customHeight="1" x14ac:dyDescent="0.25">
      <c r="A483" s="1" t="s">
        <v>1354</v>
      </c>
      <c r="B483" s="1" t="s">
        <v>138</v>
      </c>
      <c r="C483" s="1" t="s">
        <v>44</v>
      </c>
      <c r="D483" s="2" t="s">
        <v>1355</v>
      </c>
      <c r="E483" s="1" t="s">
        <v>1356</v>
      </c>
      <c r="F483" s="1" t="s">
        <v>20</v>
      </c>
      <c r="G483" s="1" t="s">
        <v>21</v>
      </c>
      <c r="H483" s="1" t="s">
        <v>1357</v>
      </c>
      <c r="I483" s="1" t="s">
        <v>16</v>
      </c>
      <c r="J483" s="1" t="s">
        <v>57</v>
      </c>
      <c r="K483" s="4" t="s">
        <v>16</v>
      </c>
      <c r="L483" s="1" t="s">
        <v>23</v>
      </c>
      <c r="M483" s="1" t="s">
        <v>58</v>
      </c>
      <c r="N483" s="7" t="str">
        <f>IFERROR(VLOOKUP(#REF!,'2. Buzzi Admin Only'!N:O,2,0),"")</f>
        <v/>
      </c>
      <c r="O483" s="6" t="str">
        <f>IFERROR(VLOOKUP(K483,'2. Buzzi Admin Only'!Q:R,2,0),"")</f>
        <v/>
      </c>
    </row>
    <row r="484" spans="1:15" ht="15.75" customHeight="1" x14ac:dyDescent="0.25">
      <c r="A484" s="1" t="s">
        <v>1358</v>
      </c>
      <c r="B484" s="1" t="s">
        <v>138</v>
      </c>
      <c r="C484" s="1" t="s">
        <v>16</v>
      </c>
      <c r="D484" s="2" t="s">
        <v>1359</v>
      </c>
      <c r="E484" s="1" t="s">
        <v>40</v>
      </c>
      <c r="F484" s="1" t="s">
        <v>20</v>
      </c>
      <c r="G484" s="1" t="s">
        <v>21</v>
      </c>
      <c r="H484" s="1" t="s">
        <v>16</v>
      </c>
      <c r="I484" s="1" t="s">
        <v>16</v>
      </c>
      <c r="J484" s="1" t="s">
        <v>57</v>
      </c>
      <c r="K484" s="4" t="s">
        <v>16</v>
      </c>
      <c r="L484" s="1" t="s">
        <v>23</v>
      </c>
      <c r="M484" s="1" t="s">
        <v>58</v>
      </c>
      <c r="N484" s="7" t="str">
        <f>IFERROR(VLOOKUP(#REF!,'2. Buzzi Admin Only'!N:O,2,0),"")</f>
        <v/>
      </c>
      <c r="O484" s="6" t="str">
        <f>IFERROR(VLOOKUP(K484,'2. Buzzi Admin Only'!Q:R,2,0),"")</f>
        <v/>
      </c>
    </row>
    <row r="485" spans="1:15" ht="15.75" customHeight="1" x14ac:dyDescent="0.25">
      <c r="A485" s="1" t="s">
        <v>1360</v>
      </c>
      <c r="B485" s="1" t="s">
        <v>138</v>
      </c>
      <c r="C485" s="1" t="s">
        <v>60</v>
      </c>
      <c r="D485" s="2" t="s">
        <v>1361</v>
      </c>
      <c r="E485" s="1" t="s">
        <v>1362</v>
      </c>
      <c r="F485" s="1" t="s">
        <v>20</v>
      </c>
      <c r="G485" s="1" t="s">
        <v>28</v>
      </c>
      <c r="H485" s="1" t="s">
        <v>1363</v>
      </c>
      <c r="I485" s="1" t="s">
        <v>16</v>
      </c>
      <c r="J485" s="1" t="s">
        <v>16</v>
      </c>
      <c r="K485" s="4" t="s">
        <v>16</v>
      </c>
      <c r="L485" s="1" t="s">
        <v>23</v>
      </c>
      <c r="M485" s="1" t="s">
        <v>58</v>
      </c>
      <c r="N485" s="7" t="str">
        <f>IFERROR(VLOOKUP(#REF!,'2. Buzzi Admin Only'!N:O,2,0),"")</f>
        <v/>
      </c>
      <c r="O485" s="6" t="str">
        <f>IFERROR(VLOOKUP(K485,'2. Buzzi Admin Only'!Q:R,2,0),"")</f>
        <v/>
      </c>
    </row>
    <row r="486" spans="1:15" ht="15.75" customHeight="1" x14ac:dyDescent="0.25">
      <c r="A486" s="1" t="s">
        <v>1364</v>
      </c>
      <c r="B486" s="1" t="s">
        <v>16</v>
      </c>
      <c r="C486" s="1" t="s">
        <v>16</v>
      </c>
      <c r="D486" s="2" t="s">
        <v>632</v>
      </c>
      <c r="E486" s="1" t="s">
        <v>40</v>
      </c>
      <c r="F486" s="1" t="s">
        <v>20</v>
      </c>
      <c r="G486" s="1" t="s">
        <v>70</v>
      </c>
      <c r="H486" s="1" t="s">
        <v>16</v>
      </c>
      <c r="I486" s="1" t="s">
        <v>16</v>
      </c>
      <c r="J486" s="1" t="s">
        <v>16</v>
      </c>
      <c r="K486" s="4" t="s">
        <v>16</v>
      </c>
      <c r="L486" s="1" t="s">
        <v>23</v>
      </c>
      <c r="M486" s="1" t="s">
        <v>16</v>
      </c>
      <c r="N486" s="7" t="str">
        <f>IFERROR(VLOOKUP(#REF!,'2. Buzzi Admin Only'!N:O,2,0),"")</f>
        <v/>
      </c>
      <c r="O486" s="6" t="str">
        <f>IFERROR(VLOOKUP(K486,'2. Buzzi Admin Only'!Q:R,2,0),"")</f>
        <v/>
      </c>
    </row>
    <row r="487" spans="1:15" ht="15.75" customHeight="1" x14ac:dyDescent="0.25">
      <c r="A487" s="1" t="s">
        <v>1365</v>
      </c>
      <c r="B487" s="1" t="s">
        <v>16</v>
      </c>
      <c r="C487" s="1" t="s">
        <v>60</v>
      </c>
      <c r="D487" s="2" t="s">
        <v>982</v>
      </c>
      <c r="E487" s="1" t="s">
        <v>1366</v>
      </c>
      <c r="F487" s="1" t="s">
        <v>20</v>
      </c>
      <c r="G487" s="1" t="s">
        <v>44</v>
      </c>
      <c r="H487" s="1" t="s">
        <v>1367</v>
      </c>
      <c r="I487" s="1" t="s">
        <v>16</v>
      </c>
      <c r="J487" s="1" t="s">
        <v>16</v>
      </c>
      <c r="K487" s="4" t="s">
        <v>16</v>
      </c>
      <c r="L487" s="1" t="s">
        <v>23</v>
      </c>
      <c r="M487" s="1" t="s">
        <v>30</v>
      </c>
      <c r="N487" s="7" t="str">
        <f>IFERROR(VLOOKUP(#REF!,'2. Buzzi Admin Only'!N:O,2,0),"")</f>
        <v/>
      </c>
      <c r="O487" s="6" t="str">
        <f>IFERROR(VLOOKUP(K487,'2. Buzzi Admin Only'!Q:R,2,0),"")</f>
        <v/>
      </c>
    </row>
    <row r="488" spans="1:15" ht="15.75" customHeight="1" x14ac:dyDescent="0.25">
      <c r="A488" s="1" t="s">
        <v>1368</v>
      </c>
      <c r="B488" s="1" t="s">
        <v>16</v>
      </c>
      <c r="C488" s="1" t="s">
        <v>16</v>
      </c>
      <c r="D488" s="2" t="s">
        <v>16</v>
      </c>
      <c r="E488" s="1" t="s">
        <v>40</v>
      </c>
      <c r="F488" s="1" t="s">
        <v>20</v>
      </c>
      <c r="G488" s="1" t="s">
        <v>70</v>
      </c>
      <c r="H488" s="1" t="s">
        <v>16</v>
      </c>
      <c r="I488" s="1" t="s">
        <v>16</v>
      </c>
      <c r="J488" s="1" t="s">
        <v>16</v>
      </c>
      <c r="K488" s="4" t="s">
        <v>16</v>
      </c>
      <c r="L488" s="1" t="s">
        <v>71</v>
      </c>
      <c r="M488" s="1" t="s">
        <v>16</v>
      </c>
      <c r="N488" s="7" t="str">
        <f>IFERROR(VLOOKUP(#REF!,'2. Buzzi Admin Only'!N:O,2,0),"")</f>
        <v/>
      </c>
      <c r="O488" s="6" t="str">
        <f>IFERROR(VLOOKUP(K488,'2. Buzzi Admin Only'!Q:R,2,0),"")</f>
        <v/>
      </c>
    </row>
    <row r="489" spans="1:15" ht="15.75" customHeight="1" x14ac:dyDescent="0.25">
      <c r="A489" s="1" t="s">
        <v>1369</v>
      </c>
      <c r="B489" s="1" t="s">
        <v>16</v>
      </c>
      <c r="C489" s="1" t="s">
        <v>16</v>
      </c>
      <c r="D489" s="2" t="s">
        <v>1370</v>
      </c>
      <c r="E489" s="1" t="s">
        <v>1066</v>
      </c>
      <c r="F489" s="1" t="s">
        <v>20</v>
      </c>
      <c r="G489" s="1" t="s">
        <v>28</v>
      </c>
      <c r="H489" s="1" t="s">
        <v>1371</v>
      </c>
      <c r="I489" s="1" t="s">
        <v>16</v>
      </c>
      <c r="J489" s="1" t="s">
        <v>57</v>
      </c>
      <c r="K489" s="4" t="s">
        <v>16</v>
      </c>
      <c r="L489" s="1" t="s">
        <v>23</v>
      </c>
      <c r="M489" s="1" t="s">
        <v>786</v>
      </c>
      <c r="N489" s="7" t="str">
        <f>IFERROR(VLOOKUP(#REF!,'2. Buzzi Admin Only'!N:O,2,0),"")</f>
        <v/>
      </c>
      <c r="O489" s="6" t="str">
        <f>IFERROR(VLOOKUP(K489,'2. Buzzi Admin Only'!Q:R,2,0),"")</f>
        <v/>
      </c>
    </row>
    <row r="490" spans="1:15" ht="15.75" customHeight="1" x14ac:dyDescent="0.25">
      <c r="A490" s="1" t="s">
        <v>1372</v>
      </c>
      <c r="B490" s="1" t="s">
        <v>38</v>
      </c>
      <c r="C490" s="1" t="s">
        <v>16</v>
      </c>
      <c r="D490" s="2" t="s">
        <v>1373</v>
      </c>
      <c r="E490" s="1" t="s">
        <v>19</v>
      </c>
      <c r="F490" s="1" t="s">
        <v>20</v>
      </c>
      <c r="G490" s="1" t="s">
        <v>28</v>
      </c>
      <c r="H490" s="1" t="s">
        <v>1374</v>
      </c>
      <c r="I490" s="1" t="s">
        <v>16</v>
      </c>
      <c r="J490" s="1" t="s">
        <v>57</v>
      </c>
      <c r="K490" s="4" t="s">
        <v>16</v>
      </c>
      <c r="L490" s="1" t="s">
        <v>23</v>
      </c>
      <c r="M490" s="1" t="s">
        <v>58</v>
      </c>
      <c r="N490" s="7" t="str">
        <f>IFERROR(VLOOKUP(#REF!,'2. Buzzi Admin Only'!N:O,2,0),"")</f>
        <v/>
      </c>
      <c r="O490" s="6" t="str">
        <f>IFERROR(VLOOKUP(K490,'2. Buzzi Admin Only'!Q:R,2,0),"")</f>
        <v/>
      </c>
    </row>
    <row r="491" spans="1:15" ht="15.75" customHeight="1" x14ac:dyDescent="0.25">
      <c r="A491" s="1" t="s">
        <v>1375</v>
      </c>
      <c r="B491" s="1" t="s">
        <v>16</v>
      </c>
      <c r="C491" s="1" t="s">
        <v>60</v>
      </c>
      <c r="D491" s="2" t="s">
        <v>1376</v>
      </c>
      <c r="E491" s="1" t="s">
        <v>1377</v>
      </c>
      <c r="F491" s="1" t="s">
        <v>20</v>
      </c>
      <c r="G491" s="1" t="s">
        <v>28</v>
      </c>
      <c r="H491" s="1" t="s">
        <v>1378</v>
      </c>
      <c r="I491" s="1" t="s">
        <v>16</v>
      </c>
      <c r="J491" s="1" t="s">
        <v>16</v>
      </c>
      <c r="K491" s="4" t="s">
        <v>16</v>
      </c>
      <c r="L491" s="1" t="s">
        <v>23</v>
      </c>
      <c r="M491" s="1" t="s">
        <v>52</v>
      </c>
      <c r="N491" s="7" t="str">
        <f>IFERROR(VLOOKUP(#REF!,'2. Buzzi Admin Only'!N:O,2,0),"")</f>
        <v/>
      </c>
      <c r="O491" s="6" t="str">
        <f>IFERROR(VLOOKUP(K491,'2. Buzzi Admin Only'!Q:R,2,0),"")</f>
        <v/>
      </c>
    </row>
    <row r="492" spans="1:15" ht="15.75" customHeight="1" x14ac:dyDescent="0.25">
      <c r="A492" s="1" t="s">
        <v>1379</v>
      </c>
      <c r="B492" s="1" t="s">
        <v>138</v>
      </c>
      <c r="C492" s="1" t="s">
        <v>16</v>
      </c>
      <c r="D492" s="2" t="s">
        <v>777</v>
      </c>
      <c r="E492" s="1" t="s">
        <v>1248</v>
      </c>
      <c r="F492" s="1" t="s">
        <v>20</v>
      </c>
      <c r="G492" s="1" t="s">
        <v>44</v>
      </c>
      <c r="H492" s="1" t="s">
        <v>1380</v>
      </c>
      <c r="I492" s="1" t="s">
        <v>16</v>
      </c>
      <c r="J492" s="1" t="s">
        <v>57</v>
      </c>
      <c r="K492" s="4" t="s">
        <v>16</v>
      </c>
      <c r="L492" s="1" t="s">
        <v>23</v>
      </c>
      <c r="M492" s="1" t="s">
        <v>58</v>
      </c>
      <c r="N492" s="7" t="str">
        <f>IFERROR(VLOOKUP(#REF!,'2. Buzzi Admin Only'!N:O,2,0),"")</f>
        <v/>
      </c>
      <c r="O492" s="6" t="str">
        <f>IFERROR(VLOOKUP(K492,'2. Buzzi Admin Only'!Q:R,2,0),"")</f>
        <v/>
      </c>
    </row>
    <row r="493" spans="1:15" ht="15.75" customHeight="1" x14ac:dyDescent="0.25">
      <c r="A493" s="1" t="s">
        <v>1381</v>
      </c>
      <c r="B493" s="1" t="s">
        <v>138</v>
      </c>
      <c r="C493" s="1" t="s">
        <v>16</v>
      </c>
      <c r="D493" s="2" t="s">
        <v>968</v>
      </c>
      <c r="E493" s="1" t="s">
        <v>19</v>
      </c>
      <c r="F493" s="1" t="s">
        <v>20</v>
      </c>
      <c r="G493" s="1" t="s">
        <v>21</v>
      </c>
      <c r="H493" s="1" t="s">
        <v>1382</v>
      </c>
      <c r="I493" s="1" t="s">
        <v>16</v>
      </c>
      <c r="J493" s="1" t="s">
        <v>16</v>
      </c>
      <c r="K493" s="4" t="s">
        <v>16</v>
      </c>
      <c r="L493" s="1" t="s">
        <v>23</v>
      </c>
      <c r="M493" s="1" t="s">
        <v>1383</v>
      </c>
      <c r="N493" s="7" t="str">
        <f>IFERROR(VLOOKUP(#REF!,'2. Buzzi Admin Only'!N:O,2,0),"")</f>
        <v/>
      </c>
      <c r="O493" s="6" t="str">
        <f>IFERROR(VLOOKUP(K493,'2. Buzzi Admin Only'!Q:R,2,0),"")</f>
        <v/>
      </c>
    </row>
    <row r="494" spans="1:15" ht="15.75" customHeight="1" x14ac:dyDescent="0.25">
      <c r="A494" s="1" t="s">
        <v>1384</v>
      </c>
      <c r="B494" s="1" t="s">
        <v>158</v>
      </c>
      <c r="C494" s="1" t="s">
        <v>765</v>
      </c>
      <c r="D494" s="2" t="s">
        <v>1385</v>
      </c>
      <c r="E494" s="1" t="s">
        <v>1386</v>
      </c>
      <c r="F494" s="1" t="s">
        <v>20</v>
      </c>
      <c r="G494" s="1" t="s">
        <v>21</v>
      </c>
      <c r="H494" s="1" t="s">
        <v>1387</v>
      </c>
      <c r="I494" s="1" t="s">
        <v>16</v>
      </c>
      <c r="J494" s="1" t="s">
        <v>57</v>
      </c>
      <c r="K494" s="4" t="s">
        <v>16</v>
      </c>
      <c r="L494" s="1" t="s">
        <v>23</v>
      </c>
      <c r="M494" s="1" t="s">
        <v>58</v>
      </c>
      <c r="N494" s="7" t="str">
        <f>IFERROR(VLOOKUP(#REF!,'2. Buzzi Admin Only'!N:O,2,0),"")</f>
        <v/>
      </c>
      <c r="O494" s="6" t="str">
        <f>IFERROR(VLOOKUP(K494,'2. Buzzi Admin Only'!Q:R,2,0),"")</f>
        <v/>
      </c>
    </row>
    <row r="495" spans="1:15" ht="15.75" customHeight="1" x14ac:dyDescent="0.25">
      <c r="A495" s="1" t="s">
        <v>1388</v>
      </c>
      <c r="B495" s="1" t="s">
        <v>138</v>
      </c>
      <c r="C495" s="1" t="s">
        <v>16</v>
      </c>
      <c r="D495" s="2" t="s">
        <v>1389</v>
      </c>
      <c r="E495" s="1" t="s">
        <v>1390</v>
      </c>
      <c r="F495" s="1" t="s">
        <v>20</v>
      </c>
      <c r="G495" s="1" t="s">
        <v>21</v>
      </c>
      <c r="H495" s="1" t="s">
        <v>1391</v>
      </c>
      <c r="I495" s="1" t="s">
        <v>16</v>
      </c>
      <c r="J495" s="1" t="s">
        <v>57</v>
      </c>
      <c r="K495" s="4" t="s">
        <v>16</v>
      </c>
      <c r="L495" s="1" t="s">
        <v>23</v>
      </c>
      <c r="M495" s="1" t="s">
        <v>58</v>
      </c>
      <c r="N495" s="7" t="str">
        <f>IFERROR(VLOOKUP(#REF!,'2. Buzzi Admin Only'!N:O,2,0),"")</f>
        <v/>
      </c>
      <c r="O495" s="6" t="str">
        <f>IFERROR(VLOOKUP(K495,'2. Buzzi Admin Only'!Q:R,2,0),"")</f>
        <v/>
      </c>
    </row>
    <row r="496" spans="1:15" ht="15.75" customHeight="1" x14ac:dyDescent="0.25">
      <c r="A496" s="1" t="s">
        <v>1392</v>
      </c>
      <c r="B496" s="1" t="s">
        <v>1393</v>
      </c>
      <c r="C496" s="1" t="s">
        <v>16</v>
      </c>
      <c r="D496" s="2" t="s">
        <v>1313</v>
      </c>
      <c r="E496" s="1" t="s">
        <v>308</v>
      </c>
      <c r="F496" s="1" t="s">
        <v>20</v>
      </c>
      <c r="G496" s="1" t="s">
        <v>44</v>
      </c>
      <c r="H496" s="1" t="s">
        <v>1394</v>
      </c>
      <c r="I496" s="1" t="s">
        <v>16</v>
      </c>
      <c r="J496" s="1" t="s">
        <v>16</v>
      </c>
      <c r="K496" s="4" t="s">
        <v>16</v>
      </c>
      <c r="L496" s="1" t="s">
        <v>23</v>
      </c>
      <c r="M496" s="1" t="s">
        <v>58</v>
      </c>
      <c r="N496" s="7" t="str">
        <f>IFERROR(VLOOKUP(#REF!,'2. Buzzi Admin Only'!N:O,2,0),"")</f>
        <v/>
      </c>
      <c r="O496" s="6" t="str">
        <f>IFERROR(VLOOKUP(K496,'2. Buzzi Admin Only'!Q:R,2,0),"")</f>
        <v/>
      </c>
    </row>
    <row r="497" spans="1:15" ht="15.75" customHeight="1" x14ac:dyDescent="0.25">
      <c r="A497" s="1" t="s">
        <v>1395</v>
      </c>
      <c r="B497" s="1" t="s">
        <v>158</v>
      </c>
      <c r="C497" s="1" t="s">
        <v>16</v>
      </c>
      <c r="D497" s="2" t="s">
        <v>1330</v>
      </c>
      <c r="E497" s="1" t="s">
        <v>1396</v>
      </c>
      <c r="F497" s="1" t="s">
        <v>20</v>
      </c>
      <c r="G497" s="1" t="s">
        <v>21</v>
      </c>
      <c r="H497" s="1" t="s">
        <v>1397</v>
      </c>
      <c r="I497" s="1" t="s">
        <v>16</v>
      </c>
      <c r="J497" s="1" t="s">
        <v>57</v>
      </c>
      <c r="K497" s="4" t="s">
        <v>16</v>
      </c>
      <c r="L497" s="1" t="s">
        <v>23</v>
      </c>
      <c r="M497" s="1" t="s">
        <v>58</v>
      </c>
      <c r="N497" s="7" t="str">
        <f>IFERROR(VLOOKUP(#REF!,'2. Buzzi Admin Only'!N:O,2,0),"")</f>
        <v/>
      </c>
      <c r="O497" s="6" t="str">
        <f>IFERROR(VLOOKUP(K497,'2. Buzzi Admin Only'!Q:R,2,0),"")</f>
        <v/>
      </c>
    </row>
    <row r="498" spans="1:15" ht="15.75" customHeight="1" x14ac:dyDescent="0.25">
      <c r="A498" s="1" t="s">
        <v>1398</v>
      </c>
      <c r="B498" s="1" t="s">
        <v>16</v>
      </c>
      <c r="C498" s="1" t="s">
        <v>16</v>
      </c>
      <c r="D498" s="2" t="s">
        <v>16</v>
      </c>
      <c r="E498" s="1" t="s">
        <v>16</v>
      </c>
      <c r="F498" s="1" t="s">
        <v>16</v>
      </c>
      <c r="G498" s="1" t="s">
        <v>16</v>
      </c>
      <c r="H498" s="1" t="s">
        <v>16</v>
      </c>
      <c r="I498" s="1" t="s">
        <v>16</v>
      </c>
      <c r="J498" s="1" t="s">
        <v>16</v>
      </c>
      <c r="K498" s="4" t="s">
        <v>16</v>
      </c>
      <c r="L498" s="1" t="s">
        <v>23</v>
      </c>
      <c r="M498" s="1" t="s">
        <v>16</v>
      </c>
      <c r="N498" s="7" t="str">
        <f>IFERROR(VLOOKUP(#REF!,'2. Buzzi Admin Only'!N:O,2,0),"")</f>
        <v/>
      </c>
      <c r="O498" s="6" t="str">
        <f>IFERROR(VLOOKUP(K498,'2. Buzzi Admin Only'!Q:R,2,0),"")</f>
        <v/>
      </c>
    </row>
    <row r="499" spans="1:15" ht="15.75" customHeight="1" x14ac:dyDescent="0.25">
      <c r="A499" s="1" t="s">
        <v>1399</v>
      </c>
      <c r="B499" s="1" t="s">
        <v>16</v>
      </c>
      <c r="C499" s="1" t="s">
        <v>16</v>
      </c>
      <c r="D499" s="2" t="s">
        <v>1400</v>
      </c>
      <c r="E499" s="1" t="s">
        <v>1401</v>
      </c>
      <c r="F499" s="1" t="s">
        <v>20</v>
      </c>
      <c r="G499" s="1" t="s">
        <v>21</v>
      </c>
      <c r="H499" s="1" t="s">
        <v>1402</v>
      </c>
      <c r="I499" s="1" t="s">
        <v>16</v>
      </c>
      <c r="J499" s="1" t="s">
        <v>16</v>
      </c>
      <c r="K499" s="4" t="s">
        <v>16</v>
      </c>
      <c r="L499" s="1" t="s">
        <v>23</v>
      </c>
      <c r="M499" s="1" t="s">
        <v>58</v>
      </c>
      <c r="N499" s="7" t="str">
        <f>IFERROR(VLOOKUP(#REF!,'2. Buzzi Admin Only'!N:O,2,0),"")</f>
        <v/>
      </c>
      <c r="O499" s="6" t="str">
        <f>IFERROR(VLOOKUP(K499,'2. Buzzi Admin Only'!Q:R,2,0),"")</f>
        <v/>
      </c>
    </row>
    <row r="500" spans="1:15" ht="15.75" customHeight="1" x14ac:dyDescent="0.25">
      <c r="A500" s="1" t="s">
        <v>1403</v>
      </c>
      <c r="B500" s="1" t="s">
        <v>16</v>
      </c>
      <c r="C500" s="1" t="s">
        <v>16</v>
      </c>
      <c r="D500" s="2" t="s">
        <v>16</v>
      </c>
      <c r="E500" s="1" t="s">
        <v>1404</v>
      </c>
      <c r="F500" s="1" t="s">
        <v>20</v>
      </c>
      <c r="G500" s="1" t="s">
        <v>44</v>
      </c>
      <c r="H500" s="1" t="s">
        <v>1405</v>
      </c>
      <c r="I500" s="1" t="s">
        <v>16</v>
      </c>
      <c r="J500" s="1" t="s">
        <v>16</v>
      </c>
      <c r="K500" s="4" t="s">
        <v>16</v>
      </c>
      <c r="L500" s="1" t="s">
        <v>23</v>
      </c>
      <c r="M500" s="1" t="s">
        <v>16</v>
      </c>
      <c r="N500" s="7" t="str">
        <f>IFERROR(VLOOKUP(#REF!,'2. Buzzi Admin Only'!N:O,2,0),"")</f>
        <v/>
      </c>
      <c r="O500" s="6" t="str">
        <f>IFERROR(VLOOKUP(K500,'2. Buzzi Admin Only'!Q:R,2,0),"")</f>
        <v/>
      </c>
    </row>
    <row r="501" spans="1:15" ht="15.75" customHeight="1" x14ac:dyDescent="0.25">
      <c r="A501" s="1" t="s">
        <v>1406</v>
      </c>
      <c r="B501" s="1" t="s">
        <v>138</v>
      </c>
      <c r="C501" s="1" t="s">
        <v>16</v>
      </c>
      <c r="D501" s="2" t="s">
        <v>1407</v>
      </c>
      <c r="E501" s="1" t="s">
        <v>40</v>
      </c>
      <c r="F501" s="1" t="s">
        <v>20</v>
      </c>
      <c r="G501" s="1" t="s">
        <v>28</v>
      </c>
      <c r="H501" s="1" t="s">
        <v>1408</v>
      </c>
      <c r="I501" s="1" t="s">
        <v>16</v>
      </c>
      <c r="J501" s="1" t="s">
        <v>16</v>
      </c>
      <c r="K501" s="4" t="s">
        <v>16</v>
      </c>
      <c r="L501" s="1" t="s">
        <v>23</v>
      </c>
      <c r="M501" s="1" t="s">
        <v>58</v>
      </c>
      <c r="N501" s="7" t="str">
        <f>IFERROR(VLOOKUP(#REF!,'2. Buzzi Admin Only'!N:O,2,0),"")</f>
        <v/>
      </c>
      <c r="O501" s="6" t="str">
        <f>IFERROR(VLOOKUP(K501,'2. Buzzi Admin Only'!Q:R,2,0),"")</f>
        <v/>
      </c>
    </row>
    <row r="502" spans="1:15" ht="15.75" customHeight="1" x14ac:dyDescent="0.25">
      <c r="A502" s="1" t="s">
        <v>1409</v>
      </c>
      <c r="B502" s="1" t="s">
        <v>138</v>
      </c>
      <c r="C502" s="1" t="s">
        <v>16</v>
      </c>
      <c r="D502" s="2" t="s">
        <v>1351</v>
      </c>
      <c r="E502" s="1" t="s">
        <v>40</v>
      </c>
      <c r="F502" s="1" t="s">
        <v>130</v>
      </c>
      <c r="G502" s="1" t="s">
        <v>70</v>
      </c>
      <c r="H502" s="1" t="s">
        <v>1410</v>
      </c>
      <c r="I502" s="1" t="s">
        <v>16</v>
      </c>
      <c r="J502" s="1" t="s">
        <v>16</v>
      </c>
      <c r="K502" s="4" t="s">
        <v>16</v>
      </c>
      <c r="L502" s="1" t="s">
        <v>23</v>
      </c>
      <c r="M502" s="1" t="s">
        <v>16</v>
      </c>
      <c r="N502" s="7" t="s">
        <v>16</v>
      </c>
      <c r="O502" s="6" t="str">
        <f>IFERROR(VLOOKUP(K502,'2. Buzzi Admin Only'!Q:R,2,0),"")</f>
        <v/>
      </c>
    </row>
    <row r="503" spans="1:15" ht="15.75" customHeight="1" x14ac:dyDescent="0.25">
      <c r="A503" s="1" t="s">
        <v>1411</v>
      </c>
      <c r="B503" s="1" t="s">
        <v>16</v>
      </c>
      <c r="C503" s="1" t="s">
        <v>16</v>
      </c>
      <c r="D503" s="2" t="s">
        <v>16</v>
      </c>
      <c r="E503" s="1" t="s">
        <v>16</v>
      </c>
      <c r="F503" s="1" t="s">
        <v>16</v>
      </c>
      <c r="G503" s="1" t="s">
        <v>16</v>
      </c>
      <c r="H503" s="1" t="s">
        <v>16</v>
      </c>
      <c r="I503" s="1" t="s">
        <v>16</v>
      </c>
      <c r="J503" s="1" t="s">
        <v>16</v>
      </c>
      <c r="K503" s="4" t="s">
        <v>16</v>
      </c>
      <c r="L503" s="1" t="s">
        <v>23</v>
      </c>
      <c r="M503" s="1" t="s">
        <v>16</v>
      </c>
      <c r="N503" s="7" t="s">
        <v>16</v>
      </c>
      <c r="O503" s="6" t="str">
        <f>IFERROR(VLOOKUP(K503,'2. Buzzi Admin Only'!Q:R,2,0),"")</f>
        <v/>
      </c>
    </row>
    <row r="504" spans="1:15" ht="15.75" customHeight="1" x14ac:dyDescent="0.25">
      <c r="A504" s="1" t="s">
        <v>1412</v>
      </c>
      <c r="B504" s="1" t="s">
        <v>16</v>
      </c>
      <c r="C504" s="1" t="s">
        <v>16</v>
      </c>
      <c r="D504" s="2" t="s">
        <v>16</v>
      </c>
      <c r="E504" s="1" t="s">
        <v>1413</v>
      </c>
      <c r="F504" s="1" t="s">
        <v>20</v>
      </c>
      <c r="G504" s="1" t="s">
        <v>44</v>
      </c>
      <c r="H504" s="1" t="s">
        <v>16</v>
      </c>
      <c r="I504" s="1" t="s">
        <v>16</v>
      </c>
      <c r="J504" s="1" t="s">
        <v>16</v>
      </c>
      <c r="K504" s="4" t="s">
        <v>16</v>
      </c>
      <c r="L504" s="1" t="s">
        <v>23</v>
      </c>
      <c r="M504" s="1" t="s">
        <v>16</v>
      </c>
      <c r="N504" s="7" t="s">
        <v>16</v>
      </c>
      <c r="O504" s="6" t="str">
        <f>IFERROR(VLOOKUP(K504,'2. Buzzi Admin Only'!Q:R,2,0),"")</f>
        <v/>
      </c>
    </row>
    <row r="505" spans="1:15" ht="15.75" customHeight="1" x14ac:dyDescent="0.25">
      <c r="A505" s="1" t="s">
        <v>1414</v>
      </c>
      <c r="B505" s="1" t="s">
        <v>158</v>
      </c>
      <c r="C505" s="1" t="s">
        <v>402</v>
      </c>
      <c r="D505" s="2" t="s">
        <v>1093</v>
      </c>
      <c r="E505" s="1" t="s">
        <v>1415</v>
      </c>
      <c r="F505" s="1" t="s">
        <v>20</v>
      </c>
      <c r="G505" s="1" t="s">
        <v>28</v>
      </c>
      <c r="H505" s="1" t="s">
        <v>1416</v>
      </c>
      <c r="I505" s="1" t="s">
        <v>16</v>
      </c>
      <c r="J505" s="1" t="s">
        <v>16</v>
      </c>
      <c r="K505" s="4" t="s">
        <v>16</v>
      </c>
      <c r="L505" s="1" t="s">
        <v>23</v>
      </c>
      <c r="M505" s="1" t="s">
        <v>52</v>
      </c>
      <c r="N505" s="7" t="s">
        <v>16</v>
      </c>
      <c r="O505" s="6" t="str">
        <f>IFERROR(VLOOKUP(K505,'2. Buzzi Admin Only'!Q:R,2,0),"")</f>
        <v/>
      </c>
    </row>
    <row r="506" spans="1:15" ht="15.75" customHeight="1" x14ac:dyDescent="0.25">
      <c r="A506" s="1" t="s">
        <v>1417</v>
      </c>
      <c r="B506" s="1" t="s">
        <v>16</v>
      </c>
      <c r="C506" s="1" t="s">
        <v>16</v>
      </c>
      <c r="D506" s="2" t="s">
        <v>16</v>
      </c>
      <c r="E506" s="1" t="s">
        <v>40</v>
      </c>
      <c r="F506" s="1" t="s">
        <v>20</v>
      </c>
      <c r="G506" s="1" t="s">
        <v>21</v>
      </c>
      <c r="H506" s="1" t="s">
        <v>16</v>
      </c>
      <c r="I506" s="1" t="s">
        <v>16</v>
      </c>
      <c r="J506" s="1" t="s">
        <v>16</v>
      </c>
      <c r="K506" s="4" t="s">
        <v>16</v>
      </c>
      <c r="L506" s="1" t="s">
        <v>23</v>
      </c>
      <c r="M506" s="1" t="s">
        <v>16</v>
      </c>
      <c r="N506" s="7" t="s">
        <v>16</v>
      </c>
      <c r="O506" s="6" t="str">
        <f>IFERROR(VLOOKUP(K506,'2. Buzzi Admin Only'!Q:R,2,0),"")</f>
        <v/>
      </c>
    </row>
    <row r="507" spans="1:15" ht="15.75" customHeight="1" x14ac:dyDescent="0.25">
      <c r="A507" s="1" t="s">
        <v>1418</v>
      </c>
      <c r="B507" s="1" t="s">
        <v>16</v>
      </c>
      <c r="C507" s="1" t="s">
        <v>16</v>
      </c>
      <c r="D507" s="2" t="s">
        <v>16</v>
      </c>
      <c r="E507" s="1" t="s">
        <v>16</v>
      </c>
      <c r="F507" s="1" t="s">
        <v>16</v>
      </c>
      <c r="G507" s="1" t="s">
        <v>16</v>
      </c>
      <c r="H507" s="1" t="s">
        <v>16</v>
      </c>
      <c r="I507" s="1" t="s">
        <v>16</v>
      </c>
      <c r="J507" s="1" t="s">
        <v>16</v>
      </c>
      <c r="K507" s="4" t="s">
        <v>16</v>
      </c>
      <c r="L507" s="1" t="s">
        <v>16</v>
      </c>
      <c r="M507" s="1" t="s">
        <v>16</v>
      </c>
      <c r="N507" s="7" t="s">
        <v>16</v>
      </c>
      <c r="O507" s="6" t="str">
        <f>IFERROR(VLOOKUP(K507,'2. Buzzi Admin Only'!Q:R,2,0),"")</f>
        <v/>
      </c>
    </row>
    <row r="508" spans="1:15" ht="15.75" customHeight="1" x14ac:dyDescent="0.25">
      <c r="A508" s="1" t="s">
        <v>1419</v>
      </c>
      <c r="B508" s="1" t="s">
        <v>138</v>
      </c>
      <c r="C508" s="1" t="s">
        <v>1420</v>
      </c>
      <c r="D508" s="2" t="s">
        <v>830</v>
      </c>
      <c r="E508" s="1" t="s">
        <v>1421</v>
      </c>
      <c r="F508" s="1" t="s">
        <v>20</v>
      </c>
      <c r="G508" s="1" t="s">
        <v>28</v>
      </c>
      <c r="H508" s="1" t="s">
        <v>1422</v>
      </c>
      <c r="I508" s="1" t="s">
        <v>16</v>
      </c>
      <c r="J508" s="1" t="s">
        <v>57</v>
      </c>
      <c r="K508" s="4" t="s">
        <v>16</v>
      </c>
      <c r="L508" s="1" t="s">
        <v>23</v>
      </c>
      <c r="M508" s="1" t="s">
        <v>58</v>
      </c>
      <c r="N508" s="7" t="s">
        <v>16</v>
      </c>
      <c r="O508" s="6" t="str">
        <f>IFERROR(VLOOKUP(K508,'2. Buzzi Admin Only'!Q:R,2,0),"")</f>
        <v/>
      </c>
    </row>
    <row r="509" spans="1:15" ht="15.75" customHeight="1" x14ac:dyDescent="0.25">
      <c r="A509" s="1" t="s">
        <v>1423</v>
      </c>
      <c r="B509" s="1" t="s">
        <v>138</v>
      </c>
      <c r="C509" s="1" t="s">
        <v>60</v>
      </c>
      <c r="D509" s="2" t="s">
        <v>1424</v>
      </c>
      <c r="E509" s="1" t="s">
        <v>1425</v>
      </c>
      <c r="F509" s="1" t="s">
        <v>20</v>
      </c>
      <c r="G509" s="1" t="s">
        <v>44</v>
      </c>
      <c r="H509" s="1" t="s">
        <v>16</v>
      </c>
      <c r="I509" s="1" t="s">
        <v>16</v>
      </c>
      <c r="J509" s="1" t="s">
        <v>16</v>
      </c>
      <c r="K509" s="4" t="s">
        <v>16</v>
      </c>
      <c r="L509" s="1" t="s">
        <v>23</v>
      </c>
      <c r="M509" s="1" t="s">
        <v>530</v>
      </c>
      <c r="N509" s="7" t="s">
        <v>16</v>
      </c>
      <c r="O509" s="6" t="str">
        <f>IFERROR(VLOOKUP(K509,'2. Buzzi Admin Only'!Q:R,2,0),"")</f>
        <v/>
      </c>
    </row>
    <row r="510" spans="1:15" ht="15.75" customHeight="1" x14ac:dyDescent="0.25">
      <c r="A510" s="1" t="s">
        <v>1426</v>
      </c>
      <c r="B510" s="1" t="s">
        <v>38</v>
      </c>
      <c r="C510" s="1" t="s">
        <v>145</v>
      </c>
      <c r="D510" s="2" t="s">
        <v>1427</v>
      </c>
      <c r="E510" s="1" t="s">
        <v>1248</v>
      </c>
      <c r="F510" s="1" t="s">
        <v>20</v>
      </c>
      <c r="G510" s="1" t="s">
        <v>21</v>
      </c>
      <c r="H510" s="1" t="s">
        <v>16</v>
      </c>
      <c r="I510" s="1" t="s">
        <v>16</v>
      </c>
      <c r="J510" s="1" t="s">
        <v>16</v>
      </c>
      <c r="K510" s="4" t="s">
        <v>16</v>
      </c>
      <c r="L510" s="1" t="s">
        <v>23</v>
      </c>
      <c r="M510" s="1" t="s">
        <v>1428</v>
      </c>
      <c r="N510" s="7" t="s">
        <v>16</v>
      </c>
      <c r="O510" s="6" t="str">
        <f>IFERROR(VLOOKUP(K510,'2. Buzzi Admin Only'!Q:R,2,0),"")</f>
        <v/>
      </c>
    </row>
    <row r="511" spans="1:15" ht="15.75" customHeight="1" x14ac:dyDescent="0.25">
      <c r="A511" s="1" t="s">
        <v>1429</v>
      </c>
      <c r="B511" s="1" t="s">
        <v>16</v>
      </c>
      <c r="C511" s="1" t="s">
        <v>16</v>
      </c>
      <c r="D511" s="2" t="s">
        <v>16</v>
      </c>
      <c r="E511" s="1" t="s">
        <v>40</v>
      </c>
      <c r="F511" s="1" t="s">
        <v>20</v>
      </c>
      <c r="G511" s="1" t="s">
        <v>28</v>
      </c>
      <c r="H511" s="1" t="s">
        <v>16</v>
      </c>
      <c r="I511" s="1" t="s">
        <v>16</v>
      </c>
      <c r="J511" s="1" t="s">
        <v>16</v>
      </c>
      <c r="K511" s="4" t="s">
        <v>16</v>
      </c>
      <c r="L511" s="1" t="s">
        <v>71</v>
      </c>
      <c r="M511" s="1" t="s">
        <v>16</v>
      </c>
      <c r="N511" s="7" t="s">
        <v>16</v>
      </c>
      <c r="O511" s="6" t="str">
        <f>IFERROR(VLOOKUP(K511,'2. Buzzi Admin Only'!Q:R,2,0),"")</f>
        <v/>
      </c>
    </row>
    <row r="512" spans="1:15" ht="15.75" customHeight="1" x14ac:dyDescent="0.25">
      <c r="A512" s="1" t="s">
        <v>1430</v>
      </c>
      <c r="B512" s="1" t="s">
        <v>16</v>
      </c>
      <c r="C512" s="1" t="s">
        <v>16</v>
      </c>
      <c r="D512" s="2" t="s">
        <v>16</v>
      </c>
      <c r="E512" s="1" t="s">
        <v>40</v>
      </c>
      <c r="F512" s="1" t="s">
        <v>20</v>
      </c>
      <c r="G512" s="1" t="s">
        <v>21</v>
      </c>
      <c r="H512" s="1" t="s">
        <v>1431</v>
      </c>
      <c r="I512" s="1" t="s">
        <v>16</v>
      </c>
      <c r="J512" s="1" t="s">
        <v>16</v>
      </c>
      <c r="K512" s="4" t="s">
        <v>16</v>
      </c>
      <c r="L512" s="1" t="s">
        <v>71</v>
      </c>
      <c r="M512" s="1" t="s">
        <v>16</v>
      </c>
      <c r="N512" s="7" t="s">
        <v>16</v>
      </c>
      <c r="O512" s="6" t="str">
        <f>IFERROR(VLOOKUP(K512,'2. Buzzi Admin Only'!Q:R,2,0),"")</f>
        <v/>
      </c>
    </row>
    <row r="513" spans="1:15" ht="15.75" customHeight="1" x14ac:dyDescent="0.25">
      <c r="A513" s="1" t="s">
        <v>1432</v>
      </c>
      <c r="B513" s="1" t="s">
        <v>138</v>
      </c>
      <c r="C513" s="1" t="s">
        <v>16</v>
      </c>
      <c r="D513" s="2" t="s">
        <v>39</v>
      </c>
      <c r="E513" s="1" t="s">
        <v>40</v>
      </c>
      <c r="F513" s="1" t="s">
        <v>20</v>
      </c>
      <c r="G513" s="1" t="s">
        <v>21</v>
      </c>
      <c r="H513" s="1" t="s">
        <v>16</v>
      </c>
      <c r="I513" s="1" t="s">
        <v>16</v>
      </c>
      <c r="J513" s="1" t="s">
        <v>16</v>
      </c>
      <c r="K513" s="4" t="s">
        <v>16</v>
      </c>
      <c r="L513" s="1" t="s">
        <v>23</v>
      </c>
      <c r="M513" s="1" t="s">
        <v>42</v>
      </c>
      <c r="N513" s="7" t="s">
        <v>16</v>
      </c>
      <c r="O513" s="6" t="str">
        <f>IFERROR(VLOOKUP(K513,'2. Buzzi Admin Only'!Q:R,2,0),"")</f>
        <v/>
      </c>
    </row>
    <row r="514" spans="1:15" ht="15.75" customHeight="1" x14ac:dyDescent="0.25">
      <c r="A514" s="1" t="s">
        <v>1433</v>
      </c>
      <c r="B514" s="1" t="s">
        <v>138</v>
      </c>
      <c r="C514" s="1" t="s">
        <v>312</v>
      </c>
      <c r="D514" s="2" t="s">
        <v>1407</v>
      </c>
      <c r="E514" s="1" t="s">
        <v>19</v>
      </c>
      <c r="F514" s="1" t="s">
        <v>20</v>
      </c>
      <c r="G514" s="1" t="s">
        <v>21</v>
      </c>
      <c r="H514" s="1" t="s">
        <v>1434</v>
      </c>
      <c r="I514" s="1" t="s">
        <v>16</v>
      </c>
      <c r="J514" s="1" t="s">
        <v>16</v>
      </c>
      <c r="K514" s="4" t="s">
        <v>16</v>
      </c>
      <c r="L514" s="1" t="s">
        <v>23</v>
      </c>
      <c r="M514" s="1" t="s">
        <v>58</v>
      </c>
      <c r="N514" s="7" t="s">
        <v>16</v>
      </c>
      <c r="O514" s="6" t="str">
        <f>IFERROR(VLOOKUP(K514,'2. Buzzi Admin Only'!Q:R,2,0),"")</f>
        <v/>
      </c>
    </row>
    <row r="515" spans="1:15" ht="15.75" customHeight="1" x14ac:dyDescent="0.25">
      <c r="A515" s="1" t="s">
        <v>1435</v>
      </c>
      <c r="B515" s="1" t="s">
        <v>16</v>
      </c>
      <c r="C515" s="1" t="s">
        <v>16</v>
      </c>
      <c r="D515" s="2" t="s">
        <v>16</v>
      </c>
      <c r="E515" s="1" t="s">
        <v>40</v>
      </c>
      <c r="F515" s="1" t="s">
        <v>20</v>
      </c>
      <c r="G515" s="1" t="s">
        <v>28</v>
      </c>
      <c r="H515" s="1" t="s">
        <v>16</v>
      </c>
      <c r="I515" s="1" t="s">
        <v>16</v>
      </c>
      <c r="J515" s="1" t="s">
        <v>16</v>
      </c>
      <c r="K515" s="4" t="s">
        <v>16</v>
      </c>
      <c r="L515" s="1" t="s">
        <v>23</v>
      </c>
      <c r="M515" s="1" t="s">
        <v>16</v>
      </c>
      <c r="N515" s="7" t="s">
        <v>16</v>
      </c>
      <c r="O515" s="6" t="str">
        <f>IFERROR(VLOOKUP(K515,'2. Buzzi Admin Only'!Q:R,2,0),"")</f>
        <v/>
      </c>
    </row>
    <row r="516" spans="1:15" ht="15.75" customHeight="1" x14ac:dyDescent="0.25">
      <c r="A516" s="1" t="s">
        <v>1436</v>
      </c>
      <c r="B516" s="1" t="s">
        <v>16</v>
      </c>
      <c r="C516" s="1" t="s">
        <v>16</v>
      </c>
      <c r="D516" s="2" t="s">
        <v>16</v>
      </c>
      <c r="E516" s="1" t="s">
        <v>40</v>
      </c>
      <c r="F516" s="1" t="s">
        <v>20</v>
      </c>
      <c r="G516" s="1" t="s">
        <v>70</v>
      </c>
      <c r="H516" s="1" t="s">
        <v>16</v>
      </c>
      <c r="I516" s="1" t="s">
        <v>16</v>
      </c>
      <c r="J516" s="1" t="s">
        <v>16</v>
      </c>
      <c r="K516" s="4" t="s">
        <v>16</v>
      </c>
      <c r="L516" s="1" t="s">
        <v>71</v>
      </c>
      <c r="M516" s="1" t="s">
        <v>16</v>
      </c>
      <c r="N516" s="7" t="s">
        <v>16</v>
      </c>
      <c r="O516" s="6" t="str">
        <f>IFERROR(VLOOKUP(K516,'2. Buzzi Admin Only'!Q:R,2,0),"")</f>
        <v/>
      </c>
    </row>
    <row r="517" spans="1:15" ht="15.75" customHeight="1" x14ac:dyDescent="0.25">
      <c r="A517" s="1" t="s">
        <v>1437</v>
      </c>
      <c r="B517" s="1" t="s">
        <v>138</v>
      </c>
      <c r="C517" s="1" t="s">
        <v>16</v>
      </c>
      <c r="D517" s="2" t="s">
        <v>1438</v>
      </c>
      <c r="E517" s="1" t="s">
        <v>19</v>
      </c>
      <c r="F517" s="1" t="s">
        <v>20</v>
      </c>
      <c r="G517" s="1" t="s">
        <v>28</v>
      </c>
      <c r="H517" s="1" t="s">
        <v>1439</v>
      </c>
      <c r="I517" s="1" t="s">
        <v>16</v>
      </c>
      <c r="J517" s="1" t="s">
        <v>16</v>
      </c>
      <c r="K517" s="4" t="s">
        <v>16</v>
      </c>
      <c r="L517" s="1" t="s">
        <v>23</v>
      </c>
      <c r="M517" s="1" t="s">
        <v>58</v>
      </c>
      <c r="N517" s="7" t="s">
        <v>16</v>
      </c>
      <c r="O517" s="6" t="str">
        <f>IFERROR(VLOOKUP(K517,'2. Buzzi Admin Only'!Q:R,2,0),"")</f>
        <v/>
      </c>
    </row>
    <row r="518" spans="1:15" ht="15.75" customHeight="1" x14ac:dyDescent="0.25">
      <c r="A518" s="1" t="s">
        <v>1440</v>
      </c>
      <c r="B518" s="1" t="s">
        <v>138</v>
      </c>
      <c r="C518" s="1" t="s">
        <v>16</v>
      </c>
      <c r="D518" s="2" t="s">
        <v>1441</v>
      </c>
      <c r="E518" s="1" t="s">
        <v>1442</v>
      </c>
      <c r="F518" s="1" t="s">
        <v>20</v>
      </c>
      <c r="G518" s="1" t="s">
        <v>21</v>
      </c>
      <c r="H518" s="1" t="s">
        <v>1443</v>
      </c>
      <c r="I518" s="1" t="s">
        <v>16</v>
      </c>
      <c r="J518" s="1" t="s">
        <v>16</v>
      </c>
      <c r="K518" s="4" t="s">
        <v>16</v>
      </c>
      <c r="L518" s="1" t="s">
        <v>23</v>
      </c>
      <c r="M518" s="1" t="s">
        <v>16</v>
      </c>
      <c r="N518" s="7" t="s">
        <v>16</v>
      </c>
      <c r="O518" s="6" t="str">
        <f>IFERROR(VLOOKUP(K518,'2. Buzzi Admin Only'!Q:R,2,0),"")</f>
        <v/>
      </c>
    </row>
    <row r="519" spans="1:15" ht="15.75" customHeight="1" x14ac:dyDescent="0.25">
      <c r="A519" s="1" t="s">
        <v>1444</v>
      </c>
      <c r="B519" s="1" t="s">
        <v>158</v>
      </c>
      <c r="C519" s="1" t="s">
        <v>16</v>
      </c>
      <c r="D519" s="2" t="s">
        <v>1445</v>
      </c>
      <c r="E519" s="1" t="s">
        <v>1446</v>
      </c>
      <c r="F519" s="1" t="s">
        <v>20</v>
      </c>
      <c r="G519" s="1" t="s">
        <v>28</v>
      </c>
      <c r="H519" s="1" t="s">
        <v>16</v>
      </c>
      <c r="I519" s="1" t="s">
        <v>16</v>
      </c>
      <c r="J519" s="1" t="s">
        <v>16</v>
      </c>
      <c r="K519" s="4" t="s">
        <v>16</v>
      </c>
      <c r="L519" s="1" t="s">
        <v>23</v>
      </c>
      <c r="M519" s="1" t="s">
        <v>58</v>
      </c>
      <c r="N519" s="7" t="s">
        <v>16</v>
      </c>
      <c r="O519" s="6" t="str">
        <f>IFERROR(VLOOKUP(K519,'2. Buzzi Admin Only'!Q:R,2,0),"")</f>
        <v/>
      </c>
    </row>
    <row r="520" spans="1:15" ht="15.75" customHeight="1" x14ac:dyDescent="0.25">
      <c r="A520" s="1" t="s">
        <v>1447</v>
      </c>
      <c r="B520" s="1" t="s">
        <v>38</v>
      </c>
      <c r="C520" s="1" t="s">
        <v>16</v>
      </c>
      <c r="D520" s="2" t="s">
        <v>1448</v>
      </c>
      <c r="E520" s="1" t="s">
        <v>1449</v>
      </c>
      <c r="F520" s="1" t="s">
        <v>20</v>
      </c>
      <c r="G520" s="1" t="s">
        <v>28</v>
      </c>
      <c r="H520" s="1" t="s">
        <v>16</v>
      </c>
      <c r="I520" s="1" t="s">
        <v>16</v>
      </c>
      <c r="J520" s="1" t="s">
        <v>16</v>
      </c>
      <c r="K520" s="4" t="s">
        <v>16</v>
      </c>
      <c r="L520" s="1" t="s">
        <v>23</v>
      </c>
      <c r="M520" s="1" t="s">
        <v>42</v>
      </c>
      <c r="N520" s="7" t="s">
        <v>16</v>
      </c>
      <c r="O520" s="6" t="str">
        <f>IFERROR(VLOOKUP(K520,'2. Buzzi Admin Only'!Q:R,2,0),"")</f>
        <v/>
      </c>
    </row>
    <row r="521" spans="1:15" ht="15.75" customHeight="1" x14ac:dyDescent="0.25">
      <c r="A521" s="1" t="s">
        <v>1450</v>
      </c>
      <c r="B521" s="1" t="s">
        <v>16</v>
      </c>
      <c r="C521" s="1" t="s">
        <v>16</v>
      </c>
      <c r="D521" s="2" t="s">
        <v>16</v>
      </c>
      <c r="E521" s="1" t="s">
        <v>40</v>
      </c>
      <c r="F521" s="1" t="s">
        <v>20</v>
      </c>
      <c r="G521" s="1" t="s">
        <v>21</v>
      </c>
      <c r="H521" s="1" t="s">
        <v>16</v>
      </c>
      <c r="I521" s="1" t="s">
        <v>16</v>
      </c>
      <c r="J521" s="1" t="s">
        <v>16</v>
      </c>
      <c r="K521" s="4" t="s">
        <v>16</v>
      </c>
      <c r="L521" s="1" t="s">
        <v>71</v>
      </c>
      <c r="M521" s="1" t="s">
        <v>16</v>
      </c>
      <c r="N521" s="7" t="s">
        <v>16</v>
      </c>
      <c r="O521" s="6" t="str">
        <f>IFERROR(VLOOKUP(K521,'2. Buzzi Admin Only'!Q:R,2,0),"")</f>
        <v/>
      </c>
    </row>
    <row r="522" spans="1:15" ht="15.75" customHeight="1" x14ac:dyDescent="0.25">
      <c r="A522" s="1" t="s">
        <v>1451</v>
      </c>
      <c r="B522" s="1" t="s">
        <v>138</v>
      </c>
      <c r="C522" s="1" t="s">
        <v>16</v>
      </c>
      <c r="D522" s="2" t="s">
        <v>472</v>
      </c>
      <c r="E522" s="1" t="s">
        <v>328</v>
      </c>
      <c r="F522" s="1" t="s">
        <v>20</v>
      </c>
      <c r="G522" s="1" t="s">
        <v>21</v>
      </c>
      <c r="H522" s="1" t="s">
        <v>16</v>
      </c>
      <c r="I522" s="1" t="s">
        <v>16</v>
      </c>
      <c r="J522" s="1" t="s">
        <v>57</v>
      </c>
      <c r="K522" s="4" t="s">
        <v>16</v>
      </c>
      <c r="L522" s="1" t="s">
        <v>23</v>
      </c>
      <c r="M522" s="1" t="s">
        <v>623</v>
      </c>
      <c r="N522" s="7" t="s">
        <v>16</v>
      </c>
      <c r="O522" s="6" t="str">
        <f>IFERROR(VLOOKUP(K522,'2. Buzzi Admin Only'!Q:R,2,0),"")</f>
        <v/>
      </c>
    </row>
    <row r="523" spans="1:15" ht="15.75" customHeight="1" x14ac:dyDescent="0.25">
      <c r="A523" s="1" t="s">
        <v>1452</v>
      </c>
      <c r="B523" s="1" t="s">
        <v>138</v>
      </c>
      <c r="C523" s="1" t="s">
        <v>60</v>
      </c>
      <c r="D523" s="2" t="s">
        <v>1453</v>
      </c>
      <c r="E523" s="1" t="s">
        <v>1454</v>
      </c>
      <c r="F523" s="1" t="s">
        <v>20</v>
      </c>
      <c r="G523" s="1" t="s">
        <v>28</v>
      </c>
      <c r="H523" s="1" t="s">
        <v>16</v>
      </c>
      <c r="I523" s="1" t="s">
        <v>16</v>
      </c>
      <c r="J523" s="1" t="s">
        <v>16</v>
      </c>
      <c r="K523" s="10">
        <v>700</v>
      </c>
      <c r="L523" s="1" t="s">
        <v>23</v>
      </c>
      <c r="M523" s="1" t="s">
        <v>58</v>
      </c>
      <c r="N523" s="7" t="s">
        <v>16</v>
      </c>
      <c r="O523" s="6" t="str">
        <f>IFERROR(VLOOKUP(K523,'2. Buzzi Admin Only'!Q:R,2,0),"")</f>
        <v>Power Generation (Turbines, Boilers)</v>
      </c>
    </row>
    <row r="524" spans="1:15" ht="15.75" customHeight="1" x14ac:dyDescent="0.25">
      <c r="A524" s="1" t="s">
        <v>1455</v>
      </c>
      <c r="B524" s="1" t="s">
        <v>158</v>
      </c>
      <c r="C524" s="1" t="s">
        <v>1456</v>
      </c>
      <c r="D524" s="2" t="s">
        <v>1373</v>
      </c>
      <c r="E524" s="1" t="s">
        <v>1457</v>
      </c>
      <c r="F524" s="1" t="s">
        <v>20</v>
      </c>
      <c r="G524" s="1" t="s">
        <v>28</v>
      </c>
      <c r="H524" s="1" t="s">
        <v>1458</v>
      </c>
      <c r="I524" s="1" t="s">
        <v>16</v>
      </c>
      <c r="J524" s="1" t="s">
        <v>57</v>
      </c>
      <c r="K524" s="4" t="s">
        <v>16</v>
      </c>
      <c r="L524" s="1" t="s">
        <v>23</v>
      </c>
      <c r="M524" s="1" t="s">
        <v>1459</v>
      </c>
      <c r="N524" s="7" t="s">
        <v>16</v>
      </c>
      <c r="O524" s="6" t="str">
        <f>IFERROR(VLOOKUP(K524,'2. Buzzi Admin Only'!Q:R,2,0),"")</f>
        <v/>
      </c>
    </row>
    <row r="525" spans="1:15" ht="15.75" customHeight="1" x14ac:dyDescent="0.25">
      <c r="A525" s="1" t="s">
        <v>1460</v>
      </c>
      <c r="B525" s="1" t="s">
        <v>16</v>
      </c>
      <c r="C525" s="1" t="s">
        <v>16</v>
      </c>
      <c r="D525" s="2" t="s">
        <v>1461</v>
      </c>
      <c r="E525" s="1" t="s">
        <v>40</v>
      </c>
      <c r="F525" s="1" t="s">
        <v>141</v>
      </c>
      <c r="G525" s="1" t="s">
        <v>194</v>
      </c>
      <c r="H525" s="1" t="s">
        <v>1462</v>
      </c>
      <c r="I525" s="1" t="s">
        <v>16</v>
      </c>
      <c r="J525" s="1" t="s">
        <v>16</v>
      </c>
      <c r="K525" s="4" t="s">
        <v>16</v>
      </c>
      <c r="L525" s="1" t="s">
        <v>71</v>
      </c>
      <c r="M525" s="1" t="s">
        <v>16</v>
      </c>
      <c r="N525" s="7" t="s">
        <v>16</v>
      </c>
      <c r="O525" s="6" t="str">
        <f>IFERROR(VLOOKUP(K525,'2. Buzzi Admin Only'!Q:R,2,0),"")</f>
        <v/>
      </c>
    </row>
    <row r="526" spans="1:15" ht="15.75" customHeight="1" x14ac:dyDescent="0.25">
      <c r="A526" s="1" t="s">
        <v>1463</v>
      </c>
      <c r="B526" s="1" t="s">
        <v>16</v>
      </c>
      <c r="C526" s="1" t="s">
        <v>312</v>
      </c>
      <c r="D526" s="2" t="s">
        <v>1464</v>
      </c>
      <c r="E526" s="1" t="s">
        <v>1465</v>
      </c>
      <c r="F526" s="1" t="s">
        <v>20</v>
      </c>
      <c r="G526" s="1" t="s">
        <v>28</v>
      </c>
      <c r="H526" s="1" t="s">
        <v>1466</v>
      </c>
      <c r="I526" s="1" t="s">
        <v>16</v>
      </c>
      <c r="J526" s="1" t="s">
        <v>16</v>
      </c>
      <c r="K526" s="4" t="s">
        <v>16</v>
      </c>
      <c r="L526" s="1" t="s">
        <v>23</v>
      </c>
      <c r="M526" s="1" t="s">
        <v>52</v>
      </c>
      <c r="N526" s="7" t="s">
        <v>16</v>
      </c>
      <c r="O526" s="6" t="str">
        <f>IFERROR(VLOOKUP(K526,'2. Buzzi Admin Only'!Q:R,2,0),"")</f>
        <v/>
      </c>
    </row>
    <row r="527" spans="1:15" ht="15.75" customHeight="1" x14ac:dyDescent="0.25">
      <c r="A527" s="1" t="s">
        <v>1467</v>
      </c>
      <c r="B527" s="1" t="s">
        <v>138</v>
      </c>
      <c r="C527" s="1" t="s">
        <v>16</v>
      </c>
      <c r="D527" s="2" t="s">
        <v>982</v>
      </c>
      <c r="E527" s="1" t="s">
        <v>1248</v>
      </c>
      <c r="F527" s="1" t="s">
        <v>20</v>
      </c>
      <c r="G527" s="1" t="s">
        <v>21</v>
      </c>
      <c r="H527" s="1" t="s">
        <v>1468</v>
      </c>
      <c r="I527" s="1" t="s">
        <v>16</v>
      </c>
      <c r="J527" s="1" t="s">
        <v>57</v>
      </c>
      <c r="K527" s="10">
        <v>700</v>
      </c>
      <c r="L527" s="1" t="s">
        <v>23</v>
      </c>
      <c r="M527" s="1" t="s">
        <v>786</v>
      </c>
      <c r="N527" s="7" t="s">
        <v>16</v>
      </c>
      <c r="O527" s="6" t="str">
        <f>IFERROR(VLOOKUP(K527,'2. Buzzi Admin Only'!Q:R,2,0),"")</f>
        <v>Power Generation (Turbines, Boilers)</v>
      </c>
    </row>
    <row r="528" spans="1:15" ht="15.75" customHeight="1" x14ac:dyDescent="0.25">
      <c r="A528" s="1" t="s">
        <v>1469</v>
      </c>
      <c r="B528" s="1" t="s">
        <v>16</v>
      </c>
      <c r="C528" s="1" t="s">
        <v>1470</v>
      </c>
      <c r="D528" s="2" t="s">
        <v>1471</v>
      </c>
      <c r="E528" s="1" t="s">
        <v>1472</v>
      </c>
      <c r="F528" s="1" t="s">
        <v>20</v>
      </c>
      <c r="G528" s="1" t="s">
        <v>21</v>
      </c>
      <c r="H528" s="1" t="s">
        <v>1473</v>
      </c>
      <c r="I528" s="1" t="s">
        <v>16</v>
      </c>
      <c r="J528" s="1" t="s">
        <v>57</v>
      </c>
      <c r="K528" s="4" t="s">
        <v>16</v>
      </c>
      <c r="L528" s="1" t="s">
        <v>23</v>
      </c>
      <c r="M528" s="1" t="s">
        <v>58</v>
      </c>
      <c r="N528" s="7" t="s">
        <v>16</v>
      </c>
      <c r="O528" s="6" t="str">
        <f>IFERROR(VLOOKUP(K528,'2. Buzzi Admin Only'!Q:R,2,0),"")</f>
        <v/>
      </c>
    </row>
    <row r="529" spans="1:15" ht="15.75" customHeight="1" x14ac:dyDescent="0.25">
      <c r="A529" s="1" t="s">
        <v>1474</v>
      </c>
      <c r="B529" s="1" t="s">
        <v>16</v>
      </c>
      <c r="C529" s="1" t="s">
        <v>16</v>
      </c>
      <c r="D529" s="2" t="s">
        <v>16</v>
      </c>
      <c r="E529" s="1" t="s">
        <v>40</v>
      </c>
      <c r="F529" s="1" t="s">
        <v>20</v>
      </c>
      <c r="G529" s="1" t="s">
        <v>21</v>
      </c>
      <c r="H529" s="1" t="s">
        <v>1475</v>
      </c>
      <c r="I529" s="1" t="s">
        <v>16</v>
      </c>
      <c r="J529" s="1" t="s">
        <v>16</v>
      </c>
      <c r="K529" s="4" t="s">
        <v>16</v>
      </c>
      <c r="L529" s="1" t="s">
        <v>23</v>
      </c>
      <c r="M529" s="1" t="s">
        <v>16</v>
      </c>
      <c r="N529" s="7" t="s">
        <v>16</v>
      </c>
      <c r="O529" s="6" t="str">
        <f>IFERROR(VLOOKUP(K529,'2. Buzzi Admin Only'!Q:R,2,0),"")</f>
        <v/>
      </c>
    </row>
    <row r="530" spans="1:15" ht="15.75" customHeight="1" x14ac:dyDescent="0.25">
      <c r="A530" s="1" t="s">
        <v>1476</v>
      </c>
      <c r="B530" s="1" t="s">
        <v>16</v>
      </c>
      <c r="C530" s="1" t="s">
        <v>16</v>
      </c>
      <c r="D530" s="2" t="s">
        <v>16</v>
      </c>
      <c r="E530" s="1" t="s">
        <v>16</v>
      </c>
      <c r="F530" s="1" t="s">
        <v>16</v>
      </c>
      <c r="G530" s="1" t="s">
        <v>16</v>
      </c>
      <c r="H530" s="1" t="s">
        <v>16</v>
      </c>
      <c r="I530" s="1" t="s">
        <v>16</v>
      </c>
      <c r="J530" s="1" t="s">
        <v>16</v>
      </c>
      <c r="K530" s="4" t="s">
        <v>16</v>
      </c>
      <c r="L530" s="1" t="s">
        <v>16</v>
      </c>
      <c r="M530" s="1" t="s">
        <v>16</v>
      </c>
      <c r="N530" s="7" t="s">
        <v>16</v>
      </c>
      <c r="O530" s="6" t="str">
        <f>IFERROR(VLOOKUP(K530,'2. Buzzi Admin Only'!Q:R,2,0),"")</f>
        <v/>
      </c>
    </row>
    <row r="531" spans="1:15" ht="15.75" customHeight="1" x14ac:dyDescent="0.25">
      <c r="A531" s="1" t="s">
        <v>1477</v>
      </c>
      <c r="B531" s="1" t="s">
        <v>38</v>
      </c>
      <c r="C531" s="1" t="s">
        <v>16</v>
      </c>
      <c r="D531" s="2" t="s">
        <v>77</v>
      </c>
      <c r="E531" s="1" t="s">
        <v>1478</v>
      </c>
      <c r="F531" s="1" t="s">
        <v>20</v>
      </c>
      <c r="G531" s="1" t="s">
        <v>44</v>
      </c>
      <c r="H531" s="1" t="s">
        <v>16</v>
      </c>
      <c r="I531" s="1" t="s">
        <v>16</v>
      </c>
      <c r="J531" s="1" t="s">
        <v>57</v>
      </c>
      <c r="K531" s="4" t="s">
        <v>16</v>
      </c>
      <c r="L531" s="1" t="s">
        <v>23</v>
      </c>
      <c r="M531" s="1" t="s">
        <v>42</v>
      </c>
      <c r="N531" s="7" t="s">
        <v>16</v>
      </c>
      <c r="O531" s="6" t="str">
        <f>IFERROR(VLOOKUP(K531,'2. Buzzi Admin Only'!Q:R,2,0),"")</f>
        <v/>
      </c>
    </row>
    <row r="532" spans="1:15" ht="15.75" customHeight="1" x14ac:dyDescent="0.25">
      <c r="A532" s="1" t="s">
        <v>1479</v>
      </c>
      <c r="B532" s="1" t="s">
        <v>16</v>
      </c>
      <c r="C532" s="1" t="s">
        <v>60</v>
      </c>
      <c r="D532" s="2" t="s">
        <v>878</v>
      </c>
      <c r="E532" s="1" t="s">
        <v>1480</v>
      </c>
      <c r="F532" s="1" t="s">
        <v>20</v>
      </c>
      <c r="G532" s="1" t="s">
        <v>28</v>
      </c>
      <c r="H532" s="1" t="s">
        <v>1481</v>
      </c>
      <c r="I532" s="1" t="s">
        <v>16</v>
      </c>
      <c r="J532" s="1" t="s">
        <v>16</v>
      </c>
      <c r="K532" s="4" t="s">
        <v>16</v>
      </c>
      <c r="L532" s="1" t="s">
        <v>23</v>
      </c>
      <c r="M532" s="1" t="s">
        <v>52</v>
      </c>
      <c r="N532" s="7" t="s">
        <v>16</v>
      </c>
      <c r="O532" s="6" t="str">
        <f>IFERROR(VLOOKUP(K532,'2. Buzzi Admin Only'!Q:R,2,0),"")</f>
        <v/>
      </c>
    </row>
    <row r="533" spans="1:15" ht="15.75" customHeight="1" x14ac:dyDescent="0.25">
      <c r="A533" s="1" t="s">
        <v>1482</v>
      </c>
      <c r="B533" s="1" t="s">
        <v>16</v>
      </c>
      <c r="C533" s="1" t="s">
        <v>16</v>
      </c>
      <c r="D533" s="2" t="s">
        <v>1483</v>
      </c>
      <c r="E533" s="1" t="s">
        <v>1484</v>
      </c>
      <c r="F533" s="1" t="s">
        <v>20</v>
      </c>
      <c r="G533" s="1" t="s">
        <v>21</v>
      </c>
      <c r="H533" s="1" t="s">
        <v>1485</v>
      </c>
      <c r="I533" s="1" t="s">
        <v>16</v>
      </c>
      <c r="J533" s="1" t="s">
        <v>16</v>
      </c>
      <c r="K533" s="4" t="s">
        <v>16</v>
      </c>
      <c r="L533" s="1" t="s">
        <v>23</v>
      </c>
      <c r="M533" s="1" t="s">
        <v>52</v>
      </c>
      <c r="N533" s="7" t="s">
        <v>16</v>
      </c>
      <c r="O533" s="6" t="str">
        <f>IFERROR(VLOOKUP(K533,'2. Buzzi Admin Only'!Q:R,2,0),"")</f>
        <v/>
      </c>
    </row>
    <row r="534" spans="1:15" ht="15.75" customHeight="1" x14ac:dyDescent="0.25">
      <c r="A534" s="1" t="s">
        <v>1486</v>
      </c>
      <c r="B534" s="1" t="s">
        <v>16</v>
      </c>
      <c r="C534" s="1" t="s">
        <v>16</v>
      </c>
      <c r="D534" s="2" t="s">
        <v>250</v>
      </c>
      <c r="E534" s="1" t="s">
        <v>1487</v>
      </c>
      <c r="F534" s="1" t="s">
        <v>20</v>
      </c>
      <c r="G534" s="1" t="s">
        <v>21</v>
      </c>
      <c r="H534" s="1" t="s">
        <v>496</v>
      </c>
      <c r="I534" s="1" t="s">
        <v>16</v>
      </c>
      <c r="J534" s="1" t="s">
        <v>16</v>
      </c>
      <c r="K534" s="4" t="s">
        <v>16</v>
      </c>
      <c r="L534" s="1" t="s">
        <v>23</v>
      </c>
      <c r="M534" s="1" t="s">
        <v>58</v>
      </c>
      <c r="N534" s="7" t="s">
        <v>16</v>
      </c>
      <c r="O534" s="6" t="str">
        <f>IFERROR(VLOOKUP(K534,'2. Buzzi Admin Only'!Q:R,2,0),"")</f>
        <v/>
      </c>
    </row>
    <row r="535" spans="1:15" ht="15.75" customHeight="1" x14ac:dyDescent="0.25">
      <c r="A535" s="1" t="s">
        <v>1488</v>
      </c>
      <c r="B535" s="1" t="s">
        <v>38</v>
      </c>
      <c r="C535" s="1" t="s">
        <v>16</v>
      </c>
      <c r="D535" s="2" t="s">
        <v>1489</v>
      </c>
      <c r="E535" s="1" t="s">
        <v>1490</v>
      </c>
      <c r="F535" s="1" t="s">
        <v>20</v>
      </c>
      <c r="G535" s="1" t="s">
        <v>28</v>
      </c>
      <c r="H535" s="1" t="s">
        <v>16</v>
      </c>
      <c r="I535" s="1" t="s">
        <v>16</v>
      </c>
      <c r="J535" s="1" t="s">
        <v>16</v>
      </c>
      <c r="K535" s="4" t="s">
        <v>16</v>
      </c>
      <c r="L535" s="1" t="s">
        <v>23</v>
      </c>
      <c r="M535" s="1" t="s">
        <v>58</v>
      </c>
      <c r="N535" s="7" t="s">
        <v>16</v>
      </c>
      <c r="O535" s="6" t="str">
        <f>IFERROR(VLOOKUP(K535,'2. Buzzi Admin Only'!Q:R,2,0),"")</f>
        <v/>
      </c>
    </row>
    <row r="536" spans="1:15" ht="15.75" customHeight="1" x14ac:dyDescent="0.25">
      <c r="A536" s="1" t="s">
        <v>1491</v>
      </c>
      <c r="B536" s="1" t="s">
        <v>16</v>
      </c>
      <c r="C536" s="1" t="s">
        <v>16</v>
      </c>
      <c r="D536" s="2" t="s">
        <v>16</v>
      </c>
      <c r="E536" s="1" t="s">
        <v>40</v>
      </c>
      <c r="F536" s="1" t="s">
        <v>141</v>
      </c>
      <c r="G536" s="1" t="s">
        <v>194</v>
      </c>
      <c r="H536" s="1" t="s">
        <v>16</v>
      </c>
      <c r="I536" s="1" t="s">
        <v>16</v>
      </c>
      <c r="J536" s="1" t="s">
        <v>16</v>
      </c>
      <c r="K536" s="4" t="s">
        <v>16</v>
      </c>
      <c r="L536" s="1" t="s">
        <v>71</v>
      </c>
      <c r="M536" s="1" t="s">
        <v>16</v>
      </c>
      <c r="N536" s="7" t="s">
        <v>16</v>
      </c>
      <c r="O536" s="6" t="str">
        <f>IFERROR(VLOOKUP(K536,'2. Buzzi Admin Only'!Q:R,2,0),"")</f>
        <v/>
      </c>
    </row>
    <row r="537" spans="1:15" ht="15.75" customHeight="1" x14ac:dyDescent="0.25">
      <c r="A537" s="1" t="s">
        <v>1492</v>
      </c>
      <c r="B537" s="1" t="s">
        <v>158</v>
      </c>
      <c r="C537" s="1" t="s">
        <v>16</v>
      </c>
      <c r="D537" s="2" t="s">
        <v>1493</v>
      </c>
      <c r="E537" s="1" t="s">
        <v>1494</v>
      </c>
      <c r="F537" s="1" t="s">
        <v>20</v>
      </c>
      <c r="G537" s="1" t="s">
        <v>21</v>
      </c>
      <c r="H537" s="1" t="s">
        <v>1495</v>
      </c>
      <c r="I537" s="1" t="s">
        <v>16</v>
      </c>
      <c r="J537" s="1" t="s">
        <v>57</v>
      </c>
      <c r="K537" s="4" t="s">
        <v>16</v>
      </c>
      <c r="L537" s="1" t="s">
        <v>23</v>
      </c>
      <c r="M537" s="1" t="s">
        <v>58</v>
      </c>
      <c r="N537" s="7" t="s">
        <v>16</v>
      </c>
      <c r="O537" s="6" t="str">
        <f>IFERROR(VLOOKUP(K537,'2. Buzzi Admin Only'!Q:R,2,0),"")</f>
        <v/>
      </c>
    </row>
    <row r="538" spans="1:15" ht="15.75" customHeight="1" x14ac:dyDescent="0.25">
      <c r="A538" s="1" t="s">
        <v>1496</v>
      </c>
      <c r="B538" s="1" t="s">
        <v>38</v>
      </c>
      <c r="C538" s="1" t="s">
        <v>16</v>
      </c>
      <c r="D538" s="2" t="s">
        <v>1497</v>
      </c>
      <c r="E538" s="1" t="s">
        <v>1498</v>
      </c>
      <c r="F538" s="1" t="s">
        <v>20</v>
      </c>
      <c r="G538" s="1" t="s">
        <v>28</v>
      </c>
      <c r="H538" s="1" t="s">
        <v>1499</v>
      </c>
      <c r="I538" s="1" t="s">
        <v>16</v>
      </c>
      <c r="J538" s="1" t="s">
        <v>16</v>
      </c>
      <c r="K538" s="4" t="s">
        <v>16</v>
      </c>
      <c r="L538" s="1" t="s">
        <v>23</v>
      </c>
      <c r="M538" s="1" t="s">
        <v>58</v>
      </c>
      <c r="N538" s="7" t="s">
        <v>16</v>
      </c>
      <c r="O538" s="6" t="str">
        <f>IFERROR(VLOOKUP(K538,'2. Buzzi Admin Only'!Q:R,2,0),"")</f>
        <v/>
      </c>
    </row>
    <row r="539" spans="1:15" ht="15.75" customHeight="1" x14ac:dyDescent="0.25">
      <c r="A539" s="1" t="s">
        <v>1500</v>
      </c>
      <c r="B539" s="1" t="s">
        <v>16</v>
      </c>
      <c r="C539" s="1" t="s">
        <v>16</v>
      </c>
      <c r="D539" s="2" t="s">
        <v>1501</v>
      </c>
      <c r="E539" s="1" t="s">
        <v>1502</v>
      </c>
      <c r="F539" s="1" t="s">
        <v>20</v>
      </c>
      <c r="G539" s="1" t="s">
        <v>28</v>
      </c>
      <c r="H539" s="1" t="s">
        <v>16</v>
      </c>
      <c r="I539" s="1" t="s">
        <v>16</v>
      </c>
      <c r="J539" s="1" t="s">
        <v>16</v>
      </c>
      <c r="K539" s="4" t="s">
        <v>16</v>
      </c>
      <c r="L539" s="1" t="s">
        <v>23</v>
      </c>
      <c r="M539" s="1" t="s">
        <v>16</v>
      </c>
      <c r="N539" s="7" t="s">
        <v>16</v>
      </c>
      <c r="O539" s="6" t="str">
        <f>IFERROR(VLOOKUP(K539,'2. Buzzi Admin Only'!Q:R,2,0),"")</f>
        <v/>
      </c>
    </row>
    <row r="540" spans="1:15" ht="15.75" customHeight="1" x14ac:dyDescent="0.25">
      <c r="A540" s="1" t="s">
        <v>1503</v>
      </c>
      <c r="B540" s="1" t="s">
        <v>16</v>
      </c>
      <c r="C540" s="1" t="s">
        <v>16</v>
      </c>
      <c r="D540" s="2" t="s">
        <v>16</v>
      </c>
      <c r="E540" s="1" t="s">
        <v>16</v>
      </c>
      <c r="F540" s="1" t="s">
        <v>20</v>
      </c>
      <c r="G540" s="1" t="s">
        <v>70</v>
      </c>
      <c r="H540" s="1" t="s">
        <v>16</v>
      </c>
      <c r="I540" s="1" t="s">
        <v>16</v>
      </c>
      <c r="J540" s="1" t="s">
        <v>16</v>
      </c>
      <c r="K540" s="4" t="s">
        <v>16</v>
      </c>
      <c r="L540" s="1" t="s">
        <v>71</v>
      </c>
      <c r="M540" s="1" t="s">
        <v>16</v>
      </c>
      <c r="N540" s="7" t="s">
        <v>16</v>
      </c>
      <c r="O540" s="6" t="str">
        <f>IFERROR(VLOOKUP(K540,'2. Buzzi Admin Only'!Q:R,2,0),"")</f>
        <v/>
      </c>
    </row>
    <row r="541" spans="1:15" ht="15.75" customHeight="1" x14ac:dyDescent="0.25">
      <c r="A541" s="1" t="s">
        <v>1504</v>
      </c>
      <c r="B541" s="1" t="s">
        <v>158</v>
      </c>
      <c r="C541" s="1" t="s">
        <v>1505</v>
      </c>
      <c r="D541" s="2" t="s">
        <v>746</v>
      </c>
      <c r="E541" s="1" t="s">
        <v>40</v>
      </c>
      <c r="F541" s="1" t="s">
        <v>141</v>
      </c>
      <c r="G541" s="1" t="s">
        <v>152</v>
      </c>
      <c r="H541" s="1" t="s">
        <v>1506</v>
      </c>
      <c r="I541" s="1" t="s">
        <v>16</v>
      </c>
      <c r="J541" s="1" t="s">
        <v>16</v>
      </c>
      <c r="K541" s="4" t="s">
        <v>16</v>
      </c>
      <c r="L541" s="1" t="s">
        <v>23</v>
      </c>
      <c r="M541" s="1" t="s">
        <v>58</v>
      </c>
      <c r="N541" s="7" t="s">
        <v>16</v>
      </c>
      <c r="O541" s="6" t="str">
        <f>IFERROR(VLOOKUP(K541,'2. Buzzi Admin Only'!Q:R,2,0),"")</f>
        <v/>
      </c>
    </row>
    <row r="542" spans="1:15" ht="15.75" customHeight="1" x14ac:dyDescent="0.25">
      <c r="A542" s="1" t="s">
        <v>1507</v>
      </c>
      <c r="B542" s="1" t="s">
        <v>158</v>
      </c>
      <c r="C542" s="1" t="s">
        <v>60</v>
      </c>
      <c r="D542" s="2" t="s">
        <v>54</v>
      </c>
      <c r="E542" s="1" t="s">
        <v>1248</v>
      </c>
      <c r="F542" s="1" t="s">
        <v>20</v>
      </c>
      <c r="G542" s="1" t="s">
        <v>44</v>
      </c>
      <c r="H542" s="1" t="s">
        <v>1508</v>
      </c>
      <c r="I542" s="1" t="s">
        <v>16</v>
      </c>
      <c r="J542" s="1" t="s">
        <v>57</v>
      </c>
      <c r="K542" s="10">
        <v>700</v>
      </c>
      <c r="L542" s="1" t="s">
        <v>23</v>
      </c>
      <c r="M542" s="1" t="s">
        <v>58</v>
      </c>
      <c r="N542" s="7" t="s">
        <v>16</v>
      </c>
      <c r="O542" s="6" t="str">
        <f>IFERROR(VLOOKUP(K542,'2. Buzzi Admin Only'!Q:R,2,0),"")</f>
        <v>Power Generation (Turbines, Boilers)</v>
      </c>
    </row>
    <row r="543" spans="1:15" ht="15.75" customHeight="1" x14ac:dyDescent="0.25">
      <c r="A543" s="1" t="s">
        <v>1509</v>
      </c>
      <c r="B543" s="1" t="s">
        <v>138</v>
      </c>
      <c r="C543" s="1" t="s">
        <v>16</v>
      </c>
      <c r="D543" s="2" t="s">
        <v>640</v>
      </c>
      <c r="E543" s="1" t="s">
        <v>1510</v>
      </c>
      <c r="F543" s="1" t="s">
        <v>20</v>
      </c>
      <c r="G543" s="1" t="s">
        <v>44</v>
      </c>
      <c r="H543" s="1" t="s">
        <v>1511</v>
      </c>
      <c r="I543" s="1" t="s">
        <v>16</v>
      </c>
      <c r="J543" s="1" t="s">
        <v>57</v>
      </c>
      <c r="K543" s="4" t="s">
        <v>16</v>
      </c>
      <c r="L543" s="1" t="s">
        <v>23</v>
      </c>
      <c r="M543" s="1" t="s">
        <v>1459</v>
      </c>
      <c r="N543" s="7" t="s">
        <v>16</v>
      </c>
      <c r="O543" s="6" t="str">
        <f>IFERROR(VLOOKUP(K543,'2. Buzzi Admin Only'!Q:R,2,0),"")</f>
        <v/>
      </c>
    </row>
    <row r="544" spans="1:15" ht="15.75" customHeight="1" x14ac:dyDescent="0.25">
      <c r="A544" s="1" t="s">
        <v>1512</v>
      </c>
      <c r="B544" s="1" t="s">
        <v>138</v>
      </c>
      <c r="C544" s="1" t="s">
        <v>16</v>
      </c>
      <c r="D544" s="2" t="s">
        <v>1513</v>
      </c>
      <c r="E544" s="1" t="s">
        <v>1514</v>
      </c>
      <c r="F544" s="1" t="s">
        <v>20</v>
      </c>
      <c r="G544" s="1" t="s">
        <v>21</v>
      </c>
      <c r="H544" s="1" t="s">
        <v>1515</v>
      </c>
      <c r="I544" s="1" t="s">
        <v>16</v>
      </c>
      <c r="J544" s="1" t="s">
        <v>16</v>
      </c>
      <c r="K544" s="4" t="s">
        <v>16</v>
      </c>
      <c r="L544" s="1" t="s">
        <v>23</v>
      </c>
      <c r="M544" s="1" t="s">
        <v>16</v>
      </c>
      <c r="N544" s="7" t="s">
        <v>16</v>
      </c>
      <c r="O544" s="6" t="str">
        <f>IFERROR(VLOOKUP(K544,'2. Buzzi Admin Only'!Q:R,2,0),"")</f>
        <v/>
      </c>
    </row>
    <row r="545" spans="1:15" ht="15.75" customHeight="1" x14ac:dyDescent="0.25">
      <c r="A545" s="1" t="s">
        <v>1516</v>
      </c>
      <c r="B545" s="1" t="s">
        <v>138</v>
      </c>
      <c r="C545" s="1" t="s">
        <v>60</v>
      </c>
      <c r="D545" s="2" t="s">
        <v>982</v>
      </c>
      <c r="E545" s="1" t="s">
        <v>1517</v>
      </c>
      <c r="F545" s="1" t="s">
        <v>20</v>
      </c>
      <c r="G545" s="1" t="s">
        <v>21</v>
      </c>
      <c r="H545" s="1" t="s">
        <v>1518</v>
      </c>
      <c r="I545" s="1" t="s">
        <v>16</v>
      </c>
      <c r="J545" s="1" t="s">
        <v>16</v>
      </c>
      <c r="K545" s="4" t="s">
        <v>16</v>
      </c>
      <c r="L545" s="1" t="s">
        <v>23</v>
      </c>
      <c r="M545" s="1" t="s">
        <v>58</v>
      </c>
      <c r="N545" s="7" t="s">
        <v>16</v>
      </c>
      <c r="O545" s="6" t="str">
        <f>IFERROR(VLOOKUP(K545,'2. Buzzi Admin Only'!Q:R,2,0),"")</f>
        <v/>
      </c>
    </row>
    <row r="546" spans="1:15" ht="15.75" customHeight="1" x14ac:dyDescent="0.25">
      <c r="A546" s="1" t="s">
        <v>1519</v>
      </c>
      <c r="B546" s="1" t="s">
        <v>38</v>
      </c>
      <c r="C546" s="1" t="s">
        <v>60</v>
      </c>
      <c r="D546" s="2" t="s">
        <v>644</v>
      </c>
      <c r="E546" s="1" t="s">
        <v>1066</v>
      </c>
      <c r="F546" s="1" t="s">
        <v>20</v>
      </c>
      <c r="G546" s="1" t="s">
        <v>28</v>
      </c>
      <c r="H546" s="1" t="s">
        <v>1520</v>
      </c>
      <c r="I546" s="1" t="s">
        <v>16</v>
      </c>
      <c r="J546" s="1" t="s">
        <v>57</v>
      </c>
      <c r="K546" s="10">
        <v>700</v>
      </c>
      <c r="L546" s="1" t="s">
        <v>23</v>
      </c>
      <c r="M546" s="1" t="s">
        <v>786</v>
      </c>
      <c r="N546" s="7" t="s">
        <v>16</v>
      </c>
      <c r="O546" s="6" t="str">
        <f>IFERROR(VLOOKUP(K546,'2. Buzzi Admin Only'!Q:R,2,0),"")</f>
        <v>Power Generation (Turbines, Boilers)</v>
      </c>
    </row>
    <row r="547" spans="1:15" ht="15.75" customHeight="1" x14ac:dyDescent="0.25">
      <c r="A547" s="1" t="s">
        <v>1521</v>
      </c>
      <c r="B547" s="1" t="s">
        <v>138</v>
      </c>
      <c r="C547" s="1" t="s">
        <v>16</v>
      </c>
      <c r="D547" s="2" t="s">
        <v>1332</v>
      </c>
      <c r="E547" s="1" t="s">
        <v>1522</v>
      </c>
      <c r="F547" s="1" t="s">
        <v>20</v>
      </c>
      <c r="G547" s="1" t="s">
        <v>28</v>
      </c>
      <c r="H547" s="1" t="s">
        <v>1523</v>
      </c>
      <c r="I547" s="1" t="s">
        <v>16</v>
      </c>
      <c r="J547" s="1" t="s">
        <v>16</v>
      </c>
      <c r="K547" s="4" t="s">
        <v>16</v>
      </c>
      <c r="L547" s="1" t="s">
        <v>23</v>
      </c>
      <c r="M547" s="1" t="s">
        <v>58</v>
      </c>
      <c r="N547" s="7" t="s">
        <v>16</v>
      </c>
      <c r="O547" s="6" t="str">
        <f>IFERROR(VLOOKUP(K547,'2. Buzzi Admin Only'!Q:R,2,0),"")</f>
        <v/>
      </c>
    </row>
    <row r="548" spans="1:15" ht="15.75" customHeight="1" x14ac:dyDescent="0.25">
      <c r="A548" s="1" t="s">
        <v>1524</v>
      </c>
      <c r="B548" s="1" t="s">
        <v>138</v>
      </c>
      <c r="C548" s="1" t="s">
        <v>16</v>
      </c>
      <c r="D548" s="2" t="s">
        <v>1093</v>
      </c>
      <c r="E548" s="1" t="s">
        <v>1415</v>
      </c>
      <c r="F548" s="1" t="s">
        <v>20</v>
      </c>
      <c r="G548" s="1" t="s">
        <v>28</v>
      </c>
      <c r="H548" s="1" t="s">
        <v>1525</v>
      </c>
      <c r="I548" s="1" t="s">
        <v>16</v>
      </c>
      <c r="J548" s="1" t="s">
        <v>16</v>
      </c>
      <c r="K548" s="4" t="s">
        <v>16</v>
      </c>
      <c r="L548" s="1" t="s">
        <v>23</v>
      </c>
      <c r="M548" s="1" t="s">
        <v>58</v>
      </c>
      <c r="N548" s="7" t="s">
        <v>16</v>
      </c>
      <c r="O548" s="6" t="str">
        <f>IFERROR(VLOOKUP(K548,'2. Buzzi Admin Only'!Q:R,2,0),"")</f>
        <v/>
      </c>
    </row>
    <row r="549" spans="1:15" ht="15.75" customHeight="1" x14ac:dyDescent="0.25">
      <c r="A549" s="1" t="s">
        <v>1526</v>
      </c>
      <c r="B549" s="1" t="s">
        <v>16</v>
      </c>
      <c r="C549" s="1" t="s">
        <v>16</v>
      </c>
      <c r="D549" s="2" t="s">
        <v>16</v>
      </c>
      <c r="E549" s="1" t="s">
        <v>40</v>
      </c>
      <c r="F549" s="1" t="s">
        <v>20</v>
      </c>
      <c r="G549" s="1" t="s">
        <v>44</v>
      </c>
      <c r="H549" s="1" t="s">
        <v>16</v>
      </c>
      <c r="I549" s="1" t="s">
        <v>16</v>
      </c>
      <c r="J549" s="1" t="s">
        <v>16</v>
      </c>
      <c r="K549" s="4" t="s">
        <v>16</v>
      </c>
      <c r="L549" s="1" t="s">
        <v>23</v>
      </c>
      <c r="M549" s="1" t="s">
        <v>16</v>
      </c>
      <c r="N549" s="7" t="s">
        <v>16</v>
      </c>
      <c r="O549" s="6" t="str">
        <f>IFERROR(VLOOKUP(K549,'2. Buzzi Admin Only'!Q:R,2,0),"")</f>
        <v/>
      </c>
    </row>
    <row r="550" spans="1:15" ht="15.75" customHeight="1" x14ac:dyDescent="0.25">
      <c r="A550" s="1" t="s">
        <v>1527</v>
      </c>
      <c r="B550" s="1" t="s">
        <v>138</v>
      </c>
      <c r="C550" s="1" t="s">
        <v>16</v>
      </c>
      <c r="D550" s="2" t="s">
        <v>1113</v>
      </c>
      <c r="E550" s="1" t="s">
        <v>1286</v>
      </c>
      <c r="F550" s="1" t="s">
        <v>20</v>
      </c>
      <c r="G550" s="1" t="s">
        <v>28</v>
      </c>
      <c r="H550" s="1" t="s">
        <v>1528</v>
      </c>
      <c r="I550" s="1" t="s">
        <v>16</v>
      </c>
      <c r="J550" s="1" t="s">
        <v>16</v>
      </c>
      <c r="K550" s="4" t="s">
        <v>16</v>
      </c>
      <c r="L550" s="1" t="s">
        <v>23</v>
      </c>
      <c r="M550" s="1" t="s">
        <v>1529</v>
      </c>
      <c r="N550" s="7" t="s">
        <v>16</v>
      </c>
      <c r="O550" s="6" t="str">
        <f>IFERROR(VLOOKUP(K550,'2. Buzzi Admin Only'!Q:R,2,0),"")</f>
        <v/>
      </c>
    </row>
    <row r="551" spans="1:15" ht="15.75" customHeight="1" x14ac:dyDescent="0.25">
      <c r="A551" s="1" t="s">
        <v>1530</v>
      </c>
      <c r="B551" s="1" t="s">
        <v>16</v>
      </c>
      <c r="C551" s="1" t="s">
        <v>16</v>
      </c>
      <c r="D551" s="2" t="s">
        <v>16</v>
      </c>
      <c r="E551" s="1" t="s">
        <v>40</v>
      </c>
      <c r="F551" s="1" t="s">
        <v>20</v>
      </c>
      <c r="G551" s="1" t="s">
        <v>44</v>
      </c>
      <c r="H551" s="1" t="s">
        <v>16</v>
      </c>
      <c r="I551" s="1" t="s">
        <v>16</v>
      </c>
      <c r="J551" s="1" t="s">
        <v>16</v>
      </c>
      <c r="K551" s="4" t="s">
        <v>16</v>
      </c>
      <c r="L551" s="1" t="s">
        <v>23</v>
      </c>
      <c r="M551" s="1" t="s">
        <v>16</v>
      </c>
      <c r="N551" s="7" t="s">
        <v>16</v>
      </c>
      <c r="O551" s="6" t="str">
        <f>IFERROR(VLOOKUP(K551,'2. Buzzi Admin Only'!Q:R,2,0),"")</f>
        <v/>
      </c>
    </row>
    <row r="552" spans="1:15" ht="15.75" customHeight="1" x14ac:dyDescent="0.25">
      <c r="A552" s="1" t="s">
        <v>1531</v>
      </c>
      <c r="B552" s="1" t="s">
        <v>138</v>
      </c>
      <c r="C552" s="1" t="s">
        <v>16</v>
      </c>
      <c r="D552" s="2" t="s">
        <v>830</v>
      </c>
      <c r="E552" s="1" t="s">
        <v>1532</v>
      </c>
      <c r="F552" s="1" t="s">
        <v>20</v>
      </c>
      <c r="G552" s="1" t="s">
        <v>21</v>
      </c>
      <c r="H552" s="1" t="s">
        <v>1533</v>
      </c>
      <c r="I552" s="1" t="s">
        <v>16</v>
      </c>
      <c r="J552" s="1" t="s">
        <v>16</v>
      </c>
      <c r="K552" s="4" t="s">
        <v>16</v>
      </c>
      <c r="L552" s="1" t="s">
        <v>23</v>
      </c>
      <c r="M552" s="1" t="s">
        <v>16</v>
      </c>
      <c r="N552" s="7" t="s">
        <v>16</v>
      </c>
      <c r="O552" s="6" t="str">
        <f>IFERROR(VLOOKUP(K552,'2. Buzzi Admin Only'!Q:R,2,0),"")</f>
        <v/>
      </c>
    </row>
    <row r="553" spans="1:15" ht="15.75" customHeight="1" x14ac:dyDescent="0.25">
      <c r="A553" s="1" t="s">
        <v>1534</v>
      </c>
      <c r="B553" s="1" t="s">
        <v>16</v>
      </c>
      <c r="C553" s="1" t="s">
        <v>16</v>
      </c>
      <c r="D553" s="2" t="s">
        <v>1535</v>
      </c>
      <c r="E553" s="1" t="s">
        <v>19</v>
      </c>
      <c r="F553" s="1" t="s">
        <v>20</v>
      </c>
      <c r="G553" s="1" t="s">
        <v>28</v>
      </c>
      <c r="H553" s="1" t="s">
        <v>1536</v>
      </c>
      <c r="I553" s="1" t="s">
        <v>16</v>
      </c>
      <c r="J553" s="1" t="s">
        <v>16</v>
      </c>
      <c r="K553" s="4" t="s">
        <v>16</v>
      </c>
      <c r="L553" s="1" t="s">
        <v>23</v>
      </c>
      <c r="M553" s="1" t="s">
        <v>58</v>
      </c>
      <c r="N553" s="7" t="s">
        <v>16</v>
      </c>
      <c r="O553" s="6" t="str">
        <f>IFERROR(VLOOKUP(K553,'2. Buzzi Admin Only'!Q:R,2,0),"")</f>
        <v/>
      </c>
    </row>
    <row r="554" spans="1:15" ht="15.75" customHeight="1" x14ac:dyDescent="0.25">
      <c r="A554" s="1" t="s">
        <v>1537</v>
      </c>
      <c r="B554" s="1" t="s">
        <v>138</v>
      </c>
      <c r="C554" s="1" t="s">
        <v>16</v>
      </c>
      <c r="D554" s="2" t="s">
        <v>1538</v>
      </c>
      <c r="E554" s="1" t="s">
        <v>40</v>
      </c>
      <c r="F554" s="1" t="s">
        <v>20</v>
      </c>
      <c r="G554" s="1" t="s">
        <v>28</v>
      </c>
      <c r="H554" s="1" t="s">
        <v>1539</v>
      </c>
      <c r="I554" s="1" t="s">
        <v>16</v>
      </c>
      <c r="J554" s="1" t="s">
        <v>16</v>
      </c>
      <c r="K554" s="4" t="s">
        <v>16</v>
      </c>
      <c r="L554" s="1" t="s">
        <v>23</v>
      </c>
      <c r="M554" s="1" t="s">
        <v>1540</v>
      </c>
      <c r="N554" s="7" t="s">
        <v>16</v>
      </c>
      <c r="O554" s="6" t="str">
        <f>IFERROR(VLOOKUP(K554,'2. Buzzi Admin Only'!Q:R,2,0),"")</f>
        <v/>
      </c>
    </row>
    <row r="555" spans="1:15" ht="15.75" customHeight="1" x14ac:dyDescent="0.25">
      <c r="A555" s="1" t="s">
        <v>1541</v>
      </c>
      <c r="B555" s="1" t="s">
        <v>38</v>
      </c>
      <c r="C555" s="1" t="s">
        <v>16</v>
      </c>
      <c r="D555" s="2" t="s">
        <v>773</v>
      </c>
      <c r="E555" s="1" t="s">
        <v>1110</v>
      </c>
      <c r="F555" s="1" t="s">
        <v>20</v>
      </c>
      <c r="G555" s="1" t="s">
        <v>21</v>
      </c>
      <c r="H555" s="1" t="s">
        <v>1542</v>
      </c>
      <c r="I555" s="1" t="s">
        <v>16</v>
      </c>
      <c r="J555" s="1" t="s">
        <v>16</v>
      </c>
      <c r="K555" s="4" t="s">
        <v>16</v>
      </c>
      <c r="L555" s="1" t="s">
        <v>23</v>
      </c>
      <c r="M555" s="1" t="s">
        <v>58</v>
      </c>
      <c r="N555" s="7" t="s">
        <v>16</v>
      </c>
      <c r="O555" s="6" t="str">
        <f>IFERROR(VLOOKUP(K555,'2. Buzzi Admin Only'!Q:R,2,0),"")</f>
        <v/>
      </c>
    </row>
    <row r="556" spans="1:15" ht="15.75" customHeight="1" x14ac:dyDescent="0.25">
      <c r="A556" s="1" t="s">
        <v>1543</v>
      </c>
      <c r="B556" s="1" t="s">
        <v>138</v>
      </c>
      <c r="C556" s="1" t="s">
        <v>16</v>
      </c>
      <c r="D556" s="2" t="s">
        <v>1373</v>
      </c>
      <c r="E556" s="1" t="s">
        <v>308</v>
      </c>
      <c r="F556" s="1" t="s">
        <v>20</v>
      </c>
      <c r="G556" s="1" t="s">
        <v>44</v>
      </c>
      <c r="H556" s="1" t="s">
        <v>1544</v>
      </c>
      <c r="I556" s="1" t="s">
        <v>16</v>
      </c>
      <c r="J556" s="1" t="s">
        <v>16</v>
      </c>
      <c r="K556" s="4" t="s">
        <v>16</v>
      </c>
      <c r="L556" s="1" t="s">
        <v>23</v>
      </c>
      <c r="M556" s="1" t="s">
        <v>42</v>
      </c>
      <c r="N556" s="7" t="s">
        <v>16</v>
      </c>
      <c r="O556" s="6" t="str">
        <f>IFERROR(VLOOKUP(K556,'2. Buzzi Admin Only'!Q:R,2,0),"")</f>
        <v/>
      </c>
    </row>
    <row r="557" spans="1:15" ht="15.75" customHeight="1" x14ac:dyDescent="0.25">
      <c r="A557" s="1" t="s">
        <v>1545</v>
      </c>
      <c r="B557" s="1" t="s">
        <v>158</v>
      </c>
      <c r="C557" s="1" t="s">
        <v>225</v>
      </c>
      <c r="D557" s="2" t="s">
        <v>1546</v>
      </c>
      <c r="E557" s="1" t="s">
        <v>1547</v>
      </c>
      <c r="F557" s="1" t="s">
        <v>20</v>
      </c>
      <c r="G557" s="1" t="s">
        <v>21</v>
      </c>
      <c r="H557" s="1" t="s">
        <v>1548</v>
      </c>
      <c r="I557" s="1" t="s">
        <v>16</v>
      </c>
      <c r="J557" s="1" t="s">
        <v>16</v>
      </c>
      <c r="K557" s="4" t="s">
        <v>16</v>
      </c>
      <c r="L557" s="1" t="s">
        <v>23</v>
      </c>
      <c r="M557" s="1" t="s">
        <v>58</v>
      </c>
      <c r="N557" s="7" t="s">
        <v>16</v>
      </c>
      <c r="O557" s="6" t="str">
        <f>IFERROR(VLOOKUP(K557,'2. Buzzi Admin Only'!Q:R,2,0),"")</f>
        <v/>
      </c>
    </row>
    <row r="558" spans="1:15" ht="15.75" customHeight="1" x14ac:dyDescent="0.25">
      <c r="A558" s="1" t="s">
        <v>1549</v>
      </c>
      <c r="B558" s="1" t="s">
        <v>16</v>
      </c>
      <c r="C558" s="1" t="s">
        <v>16</v>
      </c>
      <c r="D558" s="2" t="s">
        <v>16</v>
      </c>
      <c r="E558" s="1" t="s">
        <v>19</v>
      </c>
      <c r="F558" s="1" t="s">
        <v>20</v>
      </c>
      <c r="G558" s="1" t="s">
        <v>28</v>
      </c>
      <c r="H558" s="1" t="s">
        <v>1550</v>
      </c>
      <c r="I558" s="1" t="s">
        <v>16</v>
      </c>
      <c r="J558" s="1" t="s">
        <v>16</v>
      </c>
      <c r="K558" s="4" t="s">
        <v>16</v>
      </c>
      <c r="L558" s="1" t="s">
        <v>23</v>
      </c>
      <c r="M558" s="1" t="s">
        <v>58</v>
      </c>
      <c r="N558" s="7" t="s">
        <v>16</v>
      </c>
      <c r="O558" s="6" t="str">
        <f>IFERROR(VLOOKUP(K558,'2. Buzzi Admin Only'!Q:R,2,0),"")</f>
        <v/>
      </c>
    </row>
    <row r="559" spans="1:15" ht="15.75" customHeight="1" x14ac:dyDescent="0.25">
      <c r="A559" s="1" t="s">
        <v>1551</v>
      </c>
      <c r="B559" s="1" t="s">
        <v>38</v>
      </c>
      <c r="C559" s="1" t="s">
        <v>60</v>
      </c>
      <c r="D559" s="2" t="s">
        <v>1241</v>
      </c>
      <c r="E559" s="1" t="s">
        <v>1552</v>
      </c>
      <c r="F559" s="1" t="s">
        <v>20</v>
      </c>
      <c r="G559" s="1" t="s">
        <v>44</v>
      </c>
      <c r="H559" s="1" t="s">
        <v>1553</v>
      </c>
      <c r="I559" s="1" t="s">
        <v>16</v>
      </c>
      <c r="J559" s="1" t="s">
        <v>16</v>
      </c>
      <c r="K559" s="4" t="s">
        <v>16</v>
      </c>
      <c r="L559" s="1" t="s">
        <v>23</v>
      </c>
      <c r="M559" s="1" t="s">
        <v>68</v>
      </c>
      <c r="N559" s="7" t="s">
        <v>16</v>
      </c>
      <c r="O559" s="6" t="str">
        <f>IFERROR(VLOOKUP(K559,'2. Buzzi Admin Only'!Q:R,2,0),"")</f>
        <v/>
      </c>
    </row>
    <row r="560" spans="1:15" ht="15.75" customHeight="1" x14ac:dyDescent="0.25">
      <c r="A560" s="1" t="s">
        <v>1554</v>
      </c>
      <c r="B560" s="1" t="s">
        <v>16</v>
      </c>
      <c r="C560" s="1" t="s">
        <v>16</v>
      </c>
      <c r="D560" s="2" t="s">
        <v>1555</v>
      </c>
      <c r="E560" s="1" t="s">
        <v>1556</v>
      </c>
      <c r="F560" s="1" t="s">
        <v>20</v>
      </c>
      <c r="G560" s="1" t="s">
        <v>44</v>
      </c>
      <c r="H560" s="1" t="s">
        <v>16</v>
      </c>
      <c r="I560" s="1" t="s">
        <v>16</v>
      </c>
      <c r="J560" s="1" t="s">
        <v>16</v>
      </c>
      <c r="K560" s="4" t="s">
        <v>16</v>
      </c>
      <c r="L560" s="1" t="s">
        <v>23</v>
      </c>
      <c r="M560" s="1" t="s">
        <v>1557</v>
      </c>
      <c r="N560" s="7" t="s">
        <v>16</v>
      </c>
      <c r="O560" s="6" t="str">
        <f>IFERROR(VLOOKUP(K560,'2. Buzzi Admin Only'!Q:R,2,0),"")</f>
        <v/>
      </c>
    </row>
    <row r="561" spans="1:15" ht="15.75" customHeight="1" x14ac:dyDescent="0.25">
      <c r="A561" s="1" t="s">
        <v>1558</v>
      </c>
      <c r="B561" s="1" t="s">
        <v>16</v>
      </c>
      <c r="C561" s="1" t="s">
        <v>16</v>
      </c>
      <c r="D561" s="2" t="s">
        <v>1559</v>
      </c>
      <c r="E561" s="1" t="s">
        <v>40</v>
      </c>
      <c r="F561" s="1" t="s">
        <v>20</v>
      </c>
      <c r="G561" s="1" t="s">
        <v>21</v>
      </c>
      <c r="H561" s="1" t="s">
        <v>1560</v>
      </c>
      <c r="I561" s="1" t="s">
        <v>16</v>
      </c>
      <c r="J561" s="1" t="s">
        <v>16</v>
      </c>
      <c r="K561" s="4" t="s">
        <v>16</v>
      </c>
      <c r="L561" s="1" t="s">
        <v>23</v>
      </c>
      <c r="M561" s="1" t="s">
        <v>52</v>
      </c>
      <c r="N561" s="7" t="s">
        <v>16</v>
      </c>
      <c r="O561" s="6" t="str">
        <f>IFERROR(VLOOKUP(K561,'2. Buzzi Admin Only'!Q:R,2,0),"")</f>
        <v/>
      </c>
    </row>
    <row r="562" spans="1:15" ht="15.75" customHeight="1" x14ac:dyDescent="0.25">
      <c r="A562" s="1" t="s">
        <v>1561</v>
      </c>
      <c r="B562" s="1" t="s">
        <v>158</v>
      </c>
      <c r="C562" s="1" t="s">
        <v>60</v>
      </c>
      <c r="D562" s="2" t="s">
        <v>1186</v>
      </c>
      <c r="E562" s="1" t="s">
        <v>40</v>
      </c>
      <c r="F562" s="1" t="s">
        <v>20</v>
      </c>
      <c r="G562" s="1" t="s">
        <v>28</v>
      </c>
      <c r="H562" s="1" t="s">
        <v>1562</v>
      </c>
      <c r="I562" s="1" t="s">
        <v>16</v>
      </c>
      <c r="J562" s="1" t="s">
        <v>16</v>
      </c>
      <c r="K562" s="4" t="s">
        <v>16</v>
      </c>
      <c r="L562" s="1" t="s">
        <v>23</v>
      </c>
      <c r="M562" s="1" t="s">
        <v>58</v>
      </c>
      <c r="N562" s="7" t="s">
        <v>16</v>
      </c>
      <c r="O562" s="6" t="str">
        <f>IFERROR(VLOOKUP(K562,'2. Buzzi Admin Only'!Q:R,2,0),"")</f>
        <v/>
      </c>
    </row>
    <row r="563" spans="1:15" ht="15.75" customHeight="1" x14ac:dyDescent="0.25">
      <c r="A563" s="1" t="s">
        <v>1563</v>
      </c>
      <c r="B563" s="1" t="s">
        <v>38</v>
      </c>
      <c r="C563" s="1" t="s">
        <v>60</v>
      </c>
      <c r="D563" s="2" t="s">
        <v>1564</v>
      </c>
      <c r="E563" s="1" t="s">
        <v>1377</v>
      </c>
      <c r="F563" s="1" t="s">
        <v>20</v>
      </c>
      <c r="G563" s="1" t="s">
        <v>28</v>
      </c>
      <c r="H563" s="1" t="s">
        <v>1565</v>
      </c>
      <c r="I563" s="1" t="s">
        <v>16</v>
      </c>
      <c r="J563" s="1" t="s">
        <v>16</v>
      </c>
      <c r="K563" s="4" t="s">
        <v>16</v>
      </c>
      <c r="L563" s="1" t="s">
        <v>23</v>
      </c>
      <c r="M563" s="1" t="s">
        <v>52</v>
      </c>
      <c r="N563" s="7" t="s">
        <v>16</v>
      </c>
      <c r="O563" s="6" t="str">
        <f>IFERROR(VLOOKUP(K563,'2. Buzzi Admin Only'!Q:R,2,0),"")</f>
        <v/>
      </c>
    </row>
    <row r="564" spans="1:15" ht="15.75" customHeight="1" x14ac:dyDescent="0.25">
      <c r="A564" s="1" t="s">
        <v>1566</v>
      </c>
      <c r="B564" s="1" t="s">
        <v>38</v>
      </c>
      <c r="C564" s="1" t="s">
        <v>60</v>
      </c>
      <c r="D564" s="2" t="s">
        <v>348</v>
      </c>
      <c r="E564" s="1" t="s">
        <v>19</v>
      </c>
      <c r="F564" s="1" t="s">
        <v>20</v>
      </c>
      <c r="G564" s="1" t="s">
        <v>28</v>
      </c>
      <c r="H564" s="1" t="s">
        <v>1567</v>
      </c>
      <c r="I564" s="1" t="s">
        <v>16</v>
      </c>
      <c r="J564" s="1" t="s">
        <v>16</v>
      </c>
      <c r="K564" s="4" t="s">
        <v>16</v>
      </c>
      <c r="L564" s="1" t="s">
        <v>23</v>
      </c>
      <c r="M564" s="1" t="s">
        <v>30</v>
      </c>
      <c r="N564" s="7" t="s">
        <v>16</v>
      </c>
      <c r="O564" s="6" t="str">
        <f>IFERROR(VLOOKUP(K564,'2. Buzzi Admin Only'!Q:R,2,0),"")</f>
        <v/>
      </c>
    </row>
    <row r="565" spans="1:15" ht="15.75" customHeight="1" x14ac:dyDescent="0.25">
      <c r="A565" s="1" t="s">
        <v>1568</v>
      </c>
      <c r="B565" s="1" t="s">
        <v>138</v>
      </c>
      <c r="C565" s="1" t="s">
        <v>1569</v>
      </c>
      <c r="D565" s="2" t="s">
        <v>1570</v>
      </c>
      <c r="E565" s="1" t="s">
        <v>1571</v>
      </c>
      <c r="F565" s="1" t="s">
        <v>20</v>
      </c>
      <c r="G565" s="1" t="s">
        <v>44</v>
      </c>
      <c r="H565" s="1" t="s">
        <v>1572</v>
      </c>
      <c r="I565" s="1" t="s">
        <v>16</v>
      </c>
      <c r="J565" s="1" t="s">
        <v>57</v>
      </c>
      <c r="K565" s="4" t="s">
        <v>16</v>
      </c>
      <c r="L565" s="1" t="s">
        <v>23</v>
      </c>
      <c r="M565" s="1" t="s">
        <v>58</v>
      </c>
      <c r="N565" s="7" t="s">
        <v>16</v>
      </c>
      <c r="O565" s="6" t="str">
        <f>IFERROR(VLOOKUP(K565,'2. Buzzi Admin Only'!Q:R,2,0),"")</f>
        <v/>
      </c>
    </row>
    <row r="566" spans="1:15" ht="15.75" customHeight="1" x14ac:dyDescent="0.25">
      <c r="A566" s="1" t="s">
        <v>1573</v>
      </c>
      <c r="B566" s="1" t="s">
        <v>16</v>
      </c>
      <c r="C566" s="1" t="s">
        <v>16</v>
      </c>
      <c r="D566" s="2" t="s">
        <v>16</v>
      </c>
      <c r="E566" s="1" t="s">
        <v>40</v>
      </c>
      <c r="F566" s="1" t="s">
        <v>20</v>
      </c>
      <c r="G566" s="1" t="s">
        <v>28</v>
      </c>
      <c r="H566" s="1" t="s">
        <v>16</v>
      </c>
      <c r="I566" s="1" t="s">
        <v>16</v>
      </c>
      <c r="J566" s="1" t="s">
        <v>16</v>
      </c>
      <c r="K566" s="4" t="s">
        <v>16</v>
      </c>
      <c r="L566" s="1" t="s">
        <v>71</v>
      </c>
      <c r="M566" s="1" t="s">
        <v>16</v>
      </c>
      <c r="N566" s="7" t="s">
        <v>16</v>
      </c>
      <c r="O566" s="6" t="str">
        <f>IFERROR(VLOOKUP(K566,'2. Buzzi Admin Only'!Q:R,2,0),"")</f>
        <v/>
      </c>
    </row>
    <row r="567" spans="1:15" ht="15.75" customHeight="1" x14ac:dyDescent="0.25">
      <c r="A567" s="1" t="s">
        <v>1574</v>
      </c>
      <c r="B567" s="1" t="s">
        <v>38</v>
      </c>
      <c r="C567" s="1" t="s">
        <v>60</v>
      </c>
      <c r="D567" s="2" t="s">
        <v>773</v>
      </c>
      <c r="E567" s="1" t="s">
        <v>1575</v>
      </c>
      <c r="F567" s="1" t="s">
        <v>20</v>
      </c>
      <c r="G567" s="1" t="s">
        <v>44</v>
      </c>
      <c r="H567" s="1" t="s">
        <v>1576</v>
      </c>
      <c r="I567" s="1" t="s">
        <v>16</v>
      </c>
      <c r="J567" s="1" t="s">
        <v>16</v>
      </c>
      <c r="K567" s="4" t="s">
        <v>16</v>
      </c>
      <c r="L567" s="1" t="s">
        <v>23</v>
      </c>
      <c r="M567" s="1" t="s">
        <v>58</v>
      </c>
      <c r="N567" s="7" t="s">
        <v>16</v>
      </c>
      <c r="O567" s="6" t="str">
        <f>IFERROR(VLOOKUP(K567,'2. Buzzi Admin Only'!Q:R,2,0),"")</f>
        <v/>
      </c>
    </row>
    <row r="568" spans="1:15" ht="15.75" customHeight="1" x14ac:dyDescent="0.25">
      <c r="A568" s="1" t="s">
        <v>1577</v>
      </c>
      <c r="B568" s="1" t="s">
        <v>16</v>
      </c>
      <c r="C568" s="1" t="s">
        <v>16</v>
      </c>
      <c r="D568" s="2" t="s">
        <v>16</v>
      </c>
      <c r="E568" s="1" t="s">
        <v>40</v>
      </c>
      <c r="F568" s="1" t="s">
        <v>16</v>
      </c>
      <c r="G568" s="1" t="s">
        <v>16</v>
      </c>
      <c r="H568" s="1" t="s">
        <v>16</v>
      </c>
      <c r="I568" s="1" t="s">
        <v>16</v>
      </c>
      <c r="J568" s="1" t="s">
        <v>16</v>
      </c>
      <c r="K568" s="4" t="s">
        <v>16</v>
      </c>
      <c r="L568" s="1" t="s">
        <v>71</v>
      </c>
      <c r="M568" s="1" t="s">
        <v>16</v>
      </c>
      <c r="N568" s="7" t="s">
        <v>16</v>
      </c>
      <c r="O568" s="6" t="str">
        <f>IFERROR(VLOOKUP(K568,'2. Buzzi Admin Only'!Q:R,2,0),"")</f>
        <v/>
      </c>
    </row>
    <row r="569" spans="1:15" ht="15.75" customHeight="1" x14ac:dyDescent="0.25">
      <c r="A569" s="1" t="s">
        <v>1578</v>
      </c>
      <c r="B569" s="1" t="s">
        <v>16</v>
      </c>
      <c r="C569" s="1" t="s">
        <v>16</v>
      </c>
      <c r="D569" s="2" t="s">
        <v>1241</v>
      </c>
      <c r="E569" s="1" t="s">
        <v>1579</v>
      </c>
      <c r="F569" s="1" t="s">
        <v>20</v>
      </c>
      <c r="G569" s="1" t="s">
        <v>28</v>
      </c>
      <c r="H569" s="1" t="s">
        <v>1580</v>
      </c>
      <c r="I569" s="1" t="s">
        <v>16</v>
      </c>
      <c r="J569" s="1" t="s">
        <v>16</v>
      </c>
      <c r="K569" s="4" t="s">
        <v>16</v>
      </c>
      <c r="L569" s="1" t="s">
        <v>23</v>
      </c>
      <c r="M569" s="1" t="s">
        <v>52</v>
      </c>
      <c r="N569" s="7" t="s">
        <v>16</v>
      </c>
      <c r="O569" s="6" t="str">
        <f>IFERROR(VLOOKUP(K569,'2. Buzzi Admin Only'!Q:R,2,0),"")</f>
        <v/>
      </c>
    </row>
    <row r="570" spans="1:15" ht="15.75" customHeight="1" x14ac:dyDescent="0.25">
      <c r="A570" s="1" t="s">
        <v>1581</v>
      </c>
      <c r="B570" s="1" t="s">
        <v>138</v>
      </c>
      <c r="C570" s="1" t="s">
        <v>680</v>
      </c>
      <c r="D570" s="2" t="s">
        <v>1582</v>
      </c>
      <c r="E570" s="1" t="s">
        <v>1035</v>
      </c>
      <c r="F570" s="1" t="s">
        <v>20</v>
      </c>
      <c r="G570" s="1" t="s">
        <v>44</v>
      </c>
      <c r="H570" s="1" t="s">
        <v>1583</v>
      </c>
      <c r="I570" s="1" t="s">
        <v>16</v>
      </c>
      <c r="J570" s="1" t="s">
        <v>57</v>
      </c>
      <c r="K570" s="4" t="s">
        <v>16</v>
      </c>
      <c r="L570" s="1" t="s">
        <v>23</v>
      </c>
      <c r="M570" s="1" t="s">
        <v>58</v>
      </c>
      <c r="N570" s="7" t="s">
        <v>16</v>
      </c>
      <c r="O570" s="6" t="str">
        <f>IFERROR(VLOOKUP(K570,'2. Buzzi Admin Only'!Q:R,2,0),"")</f>
        <v/>
      </c>
    </row>
    <row r="571" spans="1:15" ht="15.75" customHeight="1" x14ac:dyDescent="0.25">
      <c r="A571" s="1" t="s">
        <v>1584</v>
      </c>
      <c r="B571" s="1" t="s">
        <v>138</v>
      </c>
      <c r="C571" s="1" t="s">
        <v>16</v>
      </c>
      <c r="D571" s="2" t="s">
        <v>1585</v>
      </c>
      <c r="E571" s="1" t="s">
        <v>1586</v>
      </c>
      <c r="F571" s="1" t="s">
        <v>141</v>
      </c>
      <c r="G571" s="1" t="s">
        <v>142</v>
      </c>
      <c r="H571" s="1" t="s">
        <v>1587</v>
      </c>
      <c r="I571" s="1" t="s">
        <v>16</v>
      </c>
      <c r="J571" s="1" t="s">
        <v>16</v>
      </c>
      <c r="K571" s="4" t="s">
        <v>16</v>
      </c>
      <c r="L571" s="1" t="s">
        <v>23</v>
      </c>
      <c r="M571" s="1" t="s">
        <v>1588</v>
      </c>
      <c r="N571" s="7" t="s">
        <v>16</v>
      </c>
      <c r="O571" s="6" t="str">
        <f>IFERROR(VLOOKUP(K571,'2. Buzzi Admin Only'!Q:R,2,0),"")</f>
        <v/>
      </c>
    </row>
    <row r="572" spans="1:15" ht="15.75" customHeight="1" x14ac:dyDescent="0.25">
      <c r="A572" s="1" t="s">
        <v>1589</v>
      </c>
      <c r="B572" s="1" t="s">
        <v>16</v>
      </c>
      <c r="C572" s="1" t="s">
        <v>16</v>
      </c>
      <c r="D572" s="2" t="s">
        <v>16</v>
      </c>
      <c r="E572" s="1" t="s">
        <v>40</v>
      </c>
      <c r="F572" s="1" t="s">
        <v>20</v>
      </c>
      <c r="G572" s="1" t="s">
        <v>28</v>
      </c>
      <c r="H572" s="1" t="s">
        <v>16</v>
      </c>
      <c r="I572" s="1" t="s">
        <v>16</v>
      </c>
      <c r="J572" s="1" t="s">
        <v>16</v>
      </c>
      <c r="K572" s="4" t="s">
        <v>16</v>
      </c>
      <c r="L572" s="1" t="s">
        <v>71</v>
      </c>
      <c r="M572" s="1" t="s">
        <v>16</v>
      </c>
      <c r="N572" s="7" t="s">
        <v>16</v>
      </c>
      <c r="O572" s="6" t="str">
        <f>IFERROR(VLOOKUP(K572,'2. Buzzi Admin Only'!Q:R,2,0),"")</f>
        <v/>
      </c>
    </row>
    <row r="573" spans="1:15" ht="15.75" customHeight="1" x14ac:dyDescent="0.25">
      <c r="A573" s="1" t="s">
        <v>1590</v>
      </c>
      <c r="B573" s="1" t="s">
        <v>16</v>
      </c>
      <c r="C573" s="1" t="s">
        <v>16</v>
      </c>
      <c r="D573" s="2" t="s">
        <v>16</v>
      </c>
      <c r="E573" s="1" t="s">
        <v>40</v>
      </c>
      <c r="F573" s="1" t="s">
        <v>20</v>
      </c>
      <c r="G573" s="1" t="s">
        <v>70</v>
      </c>
      <c r="H573" s="1" t="s">
        <v>16</v>
      </c>
      <c r="I573" s="1" t="s">
        <v>16</v>
      </c>
      <c r="J573" s="1" t="s">
        <v>16</v>
      </c>
      <c r="K573" s="4" t="s">
        <v>16</v>
      </c>
      <c r="L573" s="1" t="s">
        <v>71</v>
      </c>
      <c r="M573" s="1" t="s">
        <v>16</v>
      </c>
      <c r="N573" s="7" t="s">
        <v>16</v>
      </c>
      <c r="O573" s="6" t="str">
        <f>IFERROR(VLOOKUP(K573,'2. Buzzi Admin Only'!Q:R,2,0),"")</f>
        <v/>
      </c>
    </row>
    <row r="574" spans="1:15" ht="15.75" customHeight="1" x14ac:dyDescent="0.25">
      <c r="A574" s="1" t="s">
        <v>1591</v>
      </c>
      <c r="B574" s="1" t="s">
        <v>16</v>
      </c>
      <c r="C574" s="1" t="s">
        <v>60</v>
      </c>
      <c r="D574" s="2" t="s">
        <v>1241</v>
      </c>
      <c r="E574" s="1" t="s">
        <v>1592</v>
      </c>
      <c r="F574" s="1" t="s">
        <v>20</v>
      </c>
      <c r="G574" s="1" t="s">
        <v>21</v>
      </c>
      <c r="H574" s="1" t="s">
        <v>1593</v>
      </c>
      <c r="I574" s="1" t="s">
        <v>16</v>
      </c>
      <c r="J574" s="1" t="s">
        <v>16</v>
      </c>
      <c r="K574" s="4" t="s">
        <v>16</v>
      </c>
      <c r="L574" s="1" t="s">
        <v>23</v>
      </c>
      <c r="M574" s="1" t="s">
        <v>52</v>
      </c>
      <c r="N574" s="7" t="s">
        <v>16</v>
      </c>
      <c r="O574" s="6" t="str">
        <f>IFERROR(VLOOKUP(K574,'2. Buzzi Admin Only'!Q:R,2,0),"")</f>
        <v/>
      </c>
    </row>
    <row r="575" spans="1:15" ht="15.75" customHeight="1" x14ac:dyDescent="0.25">
      <c r="A575" s="1" t="s">
        <v>1594</v>
      </c>
      <c r="B575" s="1" t="s">
        <v>16</v>
      </c>
      <c r="C575" s="1" t="s">
        <v>16</v>
      </c>
      <c r="D575" s="2" t="s">
        <v>16</v>
      </c>
      <c r="E575" s="1" t="s">
        <v>16</v>
      </c>
      <c r="F575" s="1" t="s">
        <v>20</v>
      </c>
      <c r="G575" s="1" t="s">
        <v>21</v>
      </c>
      <c r="H575" s="1" t="s">
        <v>1595</v>
      </c>
      <c r="I575" s="1" t="s">
        <v>16</v>
      </c>
      <c r="J575" s="1" t="s">
        <v>16</v>
      </c>
      <c r="K575" s="4" t="s">
        <v>16</v>
      </c>
      <c r="L575" s="1" t="s">
        <v>23</v>
      </c>
      <c r="M575" s="1" t="s">
        <v>16</v>
      </c>
      <c r="N575" s="7" t="s">
        <v>16</v>
      </c>
      <c r="O575" s="6" t="str">
        <f>IFERROR(VLOOKUP(K575,'2. Buzzi Admin Only'!Q:R,2,0),"")</f>
        <v/>
      </c>
    </row>
    <row r="576" spans="1:15" ht="15.75" customHeight="1" x14ac:dyDescent="0.25">
      <c r="A576" s="1" t="s">
        <v>1596</v>
      </c>
      <c r="B576" s="1" t="s">
        <v>16</v>
      </c>
      <c r="C576" s="1" t="s">
        <v>16</v>
      </c>
      <c r="D576" s="2" t="s">
        <v>16</v>
      </c>
      <c r="E576" s="1" t="s">
        <v>16</v>
      </c>
      <c r="F576" s="1" t="s">
        <v>16</v>
      </c>
      <c r="G576" s="1" t="s">
        <v>16</v>
      </c>
      <c r="H576" s="1" t="s">
        <v>16</v>
      </c>
      <c r="I576" s="1" t="s">
        <v>16</v>
      </c>
      <c r="J576" s="1" t="s">
        <v>16</v>
      </c>
      <c r="K576" s="4" t="s">
        <v>16</v>
      </c>
      <c r="L576" s="1" t="s">
        <v>16</v>
      </c>
      <c r="M576" s="1" t="s">
        <v>16</v>
      </c>
      <c r="N576" s="7" t="s">
        <v>16</v>
      </c>
      <c r="O576" s="6" t="str">
        <f>IFERROR(VLOOKUP(K576,'2. Buzzi Admin Only'!Q:R,2,0),"")</f>
        <v/>
      </c>
    </row>
    <row r="577" spans="1:15" ht="15.75" customHeight="1" x14ac:dyDescent="0.25">
      <c r="A577" s="1" t="s">
        <v>1597</v>
      </c>
      <c r="B577" s="1" t="s">
        <v>138</v>
      </c>
      <c r="C577" s="1" t="s">
        <v>16</v>
      </c>
      <c r="D577" s="2" t="s">
        <v>1598</v>
      </c>
      <c r="E577" s="1" t="s">
        <v>40</v>
      </c>
      <c r="F577" s="1" t="s">
        <v>20</v>
      </c>
      <c r="G577" s="1" t="s">
        <v>28</v>
      </c>
      <c r="H577" s="1" t="s">
        <v>1599</v>
      </c>
      <c r="I577" s="1" t="s">
        <v>16</v>
      </c>
      <c r="J577" s="1" t="s">
        <v>16</v>
      </c>
      <c r="K577" s="4" t="s">
        <v>16</v>
      </c>
      <c r="L577" s="1" t="s">
        <v>23</v>
      </c>
      <c r="M577" s="1" t="s">
        <v>16</v>
      </c>
      <c r="N577" s="7" t="s">
        <v>16</v>
      </c>
      <c r="O577" s="6" t="str">
        <f>IFERROR(VLOOKUP(K577,'2. Buzzi Admin Only'!Q:R,2,0),"")</f>
        <v/>
      </c>
    </row>
    <row r="578" spans="1:15" ht="15.75" customHeight="1" x14ac:dyDescent="0.25">
      <c r="A578" s="1" t="s">
        <v>1600</v>
      </c>
      <c r="B578" s="1" t="s">
        <v>16</v>
      </c>
      <c r="C578" s="1" t="s">
        <v>16</v>
      </c>
      <c r="D578" s="2" t="s">
        <v>1601</v>
      </c>
      <c r="E578" s="1" t="s">
        <v>1602</v>
      </c>
      <c r="F578" s="1" t="s">
        <v>20</v>
      </c>
      <c r="G578" s="1" t="s">
        <v>21</v>
      </c>
      <c r="H578" s="1" t="s">
        <v>1603</v>
      </c>
      <c r="I578" s="1" t="s">
        <v>16</v>
      </c>
      <c r="J578" s="1" t="s">
        <v>16</v>
      </c>
      <c r="K578" s="4" t="s">
        <v>16</v>
      </c>
      <c r="L578" s="1" t="s">
        <v>23</v>
      </c>
      <c r="M578" s="1" t="s">
        <v>52</v>
      </c>
      <c r="N578" s="7" t="s">
        <v>16</v>
      </c>
      <c r="O578" s="6" t="str">
        <f>IFERROR(VLOOKUP(K578,'2. Buzzi Admin Only'!Q:R,2,0),"")</f>
        <v/>
      </c>
    </row>
    <row r="579" spans="1:15" ht="15.75" customHeight="1" x14ac:dyDescent="0.25">
      <c r="A579" s="1" t="s">
        <v>1604</v>
      </c>
      <c r="B579" s="1" t="s">
        <v>16</v>
      </c>
      <c r="C579" s="1" t="s">
        <v>16</v>
      </c>
      <c r="D579" s="2" t="s">
        <v>16</v>
      </c>
      <c r="E579" s="1" t="s">
        <v>40</v>
      </c>
      <c r="F579" s="1" t="s">
        <v>20</v>
      </c>
      <c r="G579" s="1" t="s">
        <v>21</v>
      </c>
      <c r="H579" s="1" t="s">
        <v>1605</v>
      </c>
      <c r="I579" s="1" t="s">
        <v>16</v>
      </c>
      <c r="J579" s="1" t="s">
        <v>16</v>
      </c>
      <c r="K579" s="4" t="s">
        <v>16</v>
      </c>
      <c r="L579" s="1" t="s">
        <v>23</v>
      </c>
      <c r="M579" s="1" t="s">
        <v>16</v>
      </c>
      <c r="N579" s="7" t="s">
        <v>16</v>
      </c>
      <c r="O579" s="6" t="str">
        <f>IFERROR(VLOOKUP(K579,'2. Buzzi Admin Only'!Q:R,2,0),"")</f>
        <v/>
      </c>
    </row>
    <row r="580" spans="1:15" ht="15.75" customHeight="1" x14ac:dyDescent="0.25">
      <c r="A580" s="1" t="s">
        <v>1606</v>
      </c>
      <c r="B580" s="1" t="s">
        <v>138</v>
      </c>
      <c r="C580" s="1" t="s">
        <v>60</v>
      </c>
      <c r="D580" s="2" t="s">
        <v>1607</v>
      </c>
      <c r="E580" s="1" t="s">
        <v>1608</v>
      </c>
      <c r="F580" s="1" t="s">
        <v>20</v>
      </c>
      <c r="G580" s="1" t="s">
        <v>28</v>
      </c>
      <c r="H580" s="1" t="s">
        <v>1609</v>
      </c>
      <c r="I580" s="1" t="s">
        <v>16</v>
      </c>
      <c r="J580" s="1" t="s">
        <v>16</v>
      </c>
      <c r="K580" s="4" t="s">
        <v>16</v>
      </c>
      <c r="L580" s="1" t="s">
        <v>23</v>
      </c>
      <c r="M580" s="1" t="s">
        <v>58</v>
      </c>
      <c r="N580" s="7" t="s">
        <v>16</v>
      </c>
      <c r="O580" s="6" t="str">
        <f>IFERROR(VLOOKUP(K580,'2. Buzzi Admin Only'!Q:R,2,0),"")</f>
        <v/>
      </c>
    </row>
    <row r="581" spans="1:15" ht="15.75" customHeight="1" x14ac:dyDescent="0.25">
      <c r="A581" s="1" t="s">
        <v>1610</v>
      </c>
      <c r="B581" s="1" t="s">
        <v>16</v>
      </c>
      <c r="C581" s="1" t="s">
        <v>402</v>
      </c>
      <c r="D581" s="2" t="s">
        <v>1611</v>
      </c>
      <c r="E581" s="1" t="s">
        <v>1612</v>
      </c>
      <c r="F581" s="1" t="s">
        <v>20</v>
      </c>
      <c r="G581" s="1" t="s">
        <v>28</v>
      </c>
      <c r="H581" s="1" t="s">
        <v>16</v>
      </c>
      <c r="I581" s="1" t="s">
        <v>16</v>
      </c>
      <c r="J581" s="1" t="s">
        <v>16</v>
      </c>
      <c r="K581" s="4" t="s">
        <v>16</v>
      </c>
      <c r="L581" s="1" t="s">
        <v>23</v>
      </c>
      <c r="M581" s="1" t="s">
        <v>1613</v>
      </c>
      <c r="N581" s="7" t="s">
        <v>16</v>
      </c>
      <c r="O581" s="6" t="str">
        <f>IFERROR(VLOOKUP(K581,'2. Buzzi Admin Only'!Q:R,2,0),"")</f>
        <v/>
      </c>
    </row>
    <row r="582" spans="1:15" ht="15.75" customHeight="1" x14ac:dyDescent="0.25">
      <c r="A582" s="1" t="s">
        <v>1614</v>
      </c>
      <c r="B582" s="1" t="s">
        <v>16</v>
      </c>
      <c r="C582" s="1" t="s">
        <v>16</v>
      </c>
      <c r="D582" s="2" t="s">
        <v>1615</v>
      </c>
      <c r="E582" s="1" t="s">
        <v>1616</v>
      </c>
      <c r="F582" s="1" t="s">
        <v>20</v>
      </c>
      <c r="G582" s="1" t="s">
        <v>21</v>
      </c>
      <c r="H582" s="1" t="s">
        <v>1617</v>
      </c>
      <c r="I582" s="1" t="s">
        <v>16</v>
      </c>
      <c r="J582" s="1" t="s">
        <v>16</v>
      </c>
      <c r="K582" s="4" t="s">
        <v>16</v>
      </c>
      <c r="L582" s="1" t="s">
        <v>23</v>
      </c>
      <c r="M582" s="1" t="s">
        <v>52</v>
      </c>
      <c r="N582" s="7" t="s">
        <v>16</v>
      </c>
      <c r="O582" s="6" t="str">
        <f>IFERROR(VLOOKUP(K582,'2. Buzzi Admin Only'!Q:R,2,0),"")</f>
        <v/>
      </c>
    </row>
    <row r="583" spans="1:15" ht="15.75" customHeight="1" x14ac:dyDescent="0.25">
      <c r="A583" s="1" t="s">
        <v>1618</v>
      </c>
      <c r="B583" s="1" t="s">
        <v>38</v>
      </c>
      <c r="C583" s="1" t="s">
        <v>16</v>
      </c>
      <c r="D583" s="2" t="s">
        <v>1619</v>
      </c>
      <c r="E583" s="1" t="s">
        <v>1620</v>
      </c>
      <c r="F583" s="1" t="s">
        <v>141</v>
      </c>
      <c r="G583" s="1" t="s">
        <v>142</v>
      </c>
      <c r="H583" s="1" t="s">
        <v>1621</v>
      </c>
      <c r="I583" s="1" t="s">
        <v>16</v>
      </c>
      <c r="J583" s="1" t="s">
        <v>16</v>
      </c>
      <c r="K583" s="4" t="s">
        <v>16</v>
      </c>
      <c r="L583" s="1" t="s">
        <v>23</v>
      </c>
      <c r="M583" s="1" t="s">
        <v>58</v>
      </c>
      <c r="N583" s="7" t="s">
        <v>16</v>
      </c>
      <c r="O583" s="6" t="str">
        <f>IFERROR(VLOOKUP(K583,'2. Buzzi Admin Only'!Q:R,2,0),"")</f>
        <v/>
      </c>
    </row>
    <row r="584" spans="1:15" ht="15.75" customHeight="1" x14ac:dyDescent="0.25">
      <c r="A584" s="1" t="s">
        <v>1622</v>
      </c>
      <c r="B584" s="1" t="s">
        <v>16</v>
      </c>
      <c r="C584" s="1" t="s">
        <v>16</v>
      </c>
      <c r="D584" s="2" t="s">
        <v>16</v>
      </c>
      <c r="E584" s="1" t="s">
        <v>40</v>
      </c>
      <c r="F584" s="1" t="s">
        <v>20</v>
      </c>
      <c r="G584" s="1" t="s">
        <v>44</v>
      </c>
      <c r="H584" s="1" t="s">
        <v>1623</v>
      </c>
      <c r="I584" s="1" t="s">
        <v>16</v>
      </c>
      <c r="J584" s="1" t="s">
        <v>16</v>
      </c>
      <c r="K584" s="4" t="s">
        <v>16</v>
      </c>
      <c r="L584" s="1" t="s">
        <v>23</v>
      </c>
      <c r="M584" s="1" t="s">
        <v>16</v>
      </c>
      <c r="N584" s="7" t="s">
        <v>16</v>
      </c>
      <c r="O584" s="6" t="str">
        <f>IFERROR(VLOOKUP(K584,'2. Buzzi Admin Only'!Q:R,2,0),"")</f>
        <v/>
      </c>
    </row>
    <row r="585" spans="1:15" ht="15.75" customHeight="1" x14ac:dyDescent="0.25">
      <c r="A585" s="1" t="s">
        <v>1624</v>
      </c>
      <c r="B585" s="1" t="s">
        <v>38</v>
      </c>
      <c r="C585" s="1" t="s">
        <v>16</v>
      </c>
      <c r="D585" s="2" t="s">
        <v>1113</v>
      </c>
      <c r="E585" s="1" t="s">
        <v>1625</v>
      </c>
      <c r="F585" s="1" t="s">
        <v>20</v>
      </c>
      <c r="G585" s="1" t="s">
        <v>21</v>
      </c>
      <c r="H585" s="1" t="s">
        <v>1626</v>
      </c>
      <c r="I585" s="1" t="s">
        <v>16</v>
      </c>
      <c r="J585" s="1" t="s">
        <v>16</v>
      </c>
      <c r="K585" s="4" t="s">
        <v>16</v>
      </c>
      <c r="L585" s="1" t="s">
        <v>23</v>
      </c>
      <c r="M585" s="1" t="s">
        <v>58</v>
      </c>
      <c r="N585" s="7" t="s">
        <v>16</v>
      </c>
      <c r="O585" s="6" t="str">
        <f>IFERROR(VLOOKUP(K585,'2. Buzzi Admin Only'!Q:R,2,0),"")</f>
        <v/>
      </c>
    </row>
    <row r="586" spans="1:15" ht="15.75" customHeight="1" x14ac:dyDescent="0.25">
      <c r="A586" s="1" t="s">
        <v>1627</v>
      </c>
      <c r="B586" s="1" t="s">
        <v>16</v>
      </c>
      <c r="C586" s="1" t="s">
        <v>16</v>
      </c>
      <c r="D586" s="2" t="s">
        <v>1628</v>
      </c>
      <c r="E586" s="1" t="s">
        <v>1629</v>
      </c>
      <c r="F586" s="1" t="s">
        <v>20</v>
      </c>
      <c r="G586" s="1" t="s">
        <v>21</v>
      </c>
      <c r="H586" s="1" t="s">
        <v>16</v>
      </c>
      <c r="I586" s="1" t="s">
        <v>16</v>
      </c>
      <c r="J586" s="1" t="s">
        <v>16</v>
      </c>
      <c r="K586" s="4" t="s">
        <v>16</v>
      </c>
      <c r="L586" s="1" t="s">
        <v>23</v>
      </c>
      <c r="M586" s="1" t="s">
        <v>52</v>
      </c>
      <c r="N586" s="7" t="s">
        <v>16</v>
      </c>
      <c r="O586" s="6" t="str">
        <f>IFERROR(VLOOKUP(K586,'2. Buzzi Admin Only'!Q:R,2,0),"")</f>
        <v/>
      </c>
    </row>
    <row r="587" spans="1:15" ht="15.75" customHeight="1" x14ac:dyDescent="0.25">
      <c r="A587" s="1" t="s">
        <v>1630</v>
      </c>
      <c r="B587" s="1" t="s">
        <v>38</v>
      </c>
      <c r="C587" s="1" t="s">
        <v>367</v>
      </c>
      <c r="D587" s="2" t="s">
        <v>1631</v>
      </c>
      <c r="E587" s="1" t="s">
        <v>1632</v>
      </c>
      <c r="F587" s="1" t="s">
        <v>20</v>
      </c>
      <c r="G587" s="1" t="s">
        <v>28</v>
      </c>
      <c r="H587" s="1" t="s">
        <v>16</v>
      </c>
      <c r="I587" s="1" t="s">
        <v>16</v>
      </c>
      <c r="J587" s="1" t="s">
        <v>16</v>
      </c>
      <c r="K587" s="4" t="s">
        <v>16</v>
      </c>
      <c r="L587" s="1" t="s">
        <v>23</v>
      </c>
      <c r="M587" s="1" t="s">
        <v>1633</v>
      </c>
      <c r="N587" s="7" t="s">
        <v>16</v>
      </c>
      <c r="O587" s="6" t="str">
        <f>IFERROR(VLOOKUP(K587,'2. Buzzi Admin Only'!Q:R,2,0),"")</f>
        <v/>
      </c>
    </row>
    <row r="588" spans="1:15" ht="15.75" customHeight="1" x14ac:dyDescent="0.25">
      <c r="A588" s="1" t="s">
        <v>1634</v>
      </c>
      <c r="B588" s="1" t="s">
        <v>138</v>
      </c>
      <c r="C588" s="1" t="s">
        <v>16</v>
      </c>
      <c r="D588" s="2" t="s">
        <v>1283</v>
      </c>
      <c r="E588" s="1" t="s">
        <v>40</v>
      </c>
      <c r="F588" s="1" t="s">
        <v>20</v>
      </c>
      <c r="G588" s="1" t="s">
        <v>28</v>
      </c>
      <c r="H588" s="1" t="s">
        <v>16</v>
      </c>
      <c r="I588" s="1" t="s">
        <v>16</v>
      </c>
      <c r="J588" s="1" t="s">
        <v>57</v>
      </c>
      <c r="K588" s="4" t="s">
        <v>16</v>
      </c>
      <c r="L588" s="1" t="s">
        <v>23</v>
      </c>
      <c r="M588" s="1" t="s">
        <v>58</v>
      </c>
      <c r="N588" s="7" t="s">
        <v>16</v>
      </c>
      <c r="O588" s="6" t="str">
        <f>IFERROR(VLOOKUP(K588,'2. Buzzi Admin Only'!Q:R,2,0),"")</f>
        <v/>
      </c>
    </row>
    <row r="589" spans="1:15" ht="15.75" customHeight="1" x14ac:dyDescent="0.25">
      <c r="A589" s="1" t="s">
        <v>1635</v>
      </c>
      <c r="B589" s="1" t="s">
        <v>38</v>
      </c>
      <c r="C589" s="1" t="s">
        <v>16</v>
      </c>
      <c r="D589" s="2" t="s">
        <v>1636</v>
      </c>
      <c r="E589" s="1" t="s">
        <v>40</v>
      </c>
      <c r="F589" s="1" t="s">
        <v>20</v>
      </c>
      <c r="G589" s="1" t="s">
        <v>21</v>
      </c>
      <c r="H589" s="1" t="s">
        <v>1637</v>
      </c>
      <c r="I589" s="1" t="s">
        <v>16</v>
      </c>
      <c r="J589" s="1" t="s">
        <v>16</v>
      </c>
      <c r="K589" s="4" t="s">
        <v>16</v>
      </c>
      <c r="L589" s="1" t="s">
        <v>23</v>
      </c>
      <c r="M589" s="1" t="s">
        <v>16</v>
      </c>
      <c r="N589" s="7" t="s">
        <v>16</v>
      </c>
      <c r="O589" s="6" t="str">
        <f>IFERROR(VLOOKUP(K589,'2. Buzzi Admin Only'!Q:R,2,0),"")</f>
        <v/>
      </c>
    </row>
    <row r="590" spans="1:15" ht="15.75" customHeight="1" x14ac:dyDescent="0.25">
      <c r="A590" s="1" t="s">
        <v>1638</v>
      </c>
      <c r="B590" s="1" t="s">
        <v>38</v>
      </c>
      <c r="C590" s="1" t="s">
        <v>16</v>
      </c>
      <c r="D590" s="2" t="s">
        <v>1639</v>
      </c>
      <c r="E590" s="1" t="s">
        <v>1640</v>
      </c>
      <c r="F590" s="1" t="s">
        <v>20</v>
      </c>
      <c r="G590" s="1" t="s">
        <v>21</v>
      </c>
      <c r="H590" s="1" t="s">
        <v>1641</v>
      </c>
      <c r="I590" s="1" t="s">
        <v>16</v>
      </c>
      <c r="J590" s="1" t="s">
        <v>16</v>
      </c>
      <c r="K590" s="4" t="s">
        <v>16</v>
      </c>
      <c r="L590" s="1" t="s">
        <v>23</v>
      </c>
      <c r="M590" s="1" t="s">
        <v>786</v>
      </c>
      <c r="N590" s="7" t="s">
        <v>16</v>
      </c>
      <c r="O590" s="6" t="str">
        <f>IFERROR(VLOOKUP(K590,'2. Buzzi Admin Only'!Q:R,2,0),"")</f>
        <v/>
      </c>
    </row>
    <row r="591" spans="1:15" ht="15.75" customHeight="1" x14ac:dyDescent="0.25">
      <c r="A591" s="1" t="s">
        <v>1642</v>
      </c>
      <c r="B591" s="1" t="s">
        <v>138</v>
      </c>
      <c r="C591" s="1" t="s">
        <v>16</v>
      </c>
      <c r="D591" s="2" t="s">
        <v>1216</v>
      </c>
      <c r="E591" s="1" t="s">
        <v>1643</v>
      </c>
      <c r="F591" s="1" t="s">
        <v>20</v>
      </c>
      <c r="G591" s="1" t="s">
        <v>21</v>
      </c>
      <c r="H591" s="1" t="s">
        <v>1644</v>
      </c>
      <c r="I591" s="1" t="s">
        <v>16</v>
      </c>
      <c r="J591" s="1" t="s">
        <v>57</v>
      </c>
      <c r="K591" s="4" t="s">
        <v>16</v>
      </c>
      <c r="L591" s="1" t="s">
        <v>23</v>
      </c>
      <c r="M591" s="1" t="s">
        <v>1645</v>
      </c>
      <c r="N591" s="7" t="s">
        <v>16</v>
      </c>
      <c r="O591" s="6" t="str">
        <f>IFERROR(VLOOKUP(K591,'2. Buzzi Admin Only'!Q:R,2,0),"")</f>
        <v/>
      </c>
    </row>
    <row r="592" spans="1:15" ht="15.75" customHeight="1" x14ac:dyDescent="0.25">
      <c r="A592" s="1" t="s">
        <v>1646</v>
      </c>
      <c r="B592" s="1" t="s">
        <v>16</v>
      </c>
      <c r="C592" s="1" t="s">
        <v>16</v>
      </c>
      <c r="D592" s="2" t="s">
        <v>1647</v>
      </c>
      <c r="E592" s="1" t="s">
        <v>1648</v>
      </c>
      <c r="F592" s="1" t="s">
        <v>529</v>
      </c>
      <c r="G592" s="1" t="s">
        <v>44</v>
      </c>
      <c r="H592" s="1" t="s">
        <v>16</v>
      </c>
      <c r="I592" s="1" t="s">
        <v>16</v>
      </c>
      <c r="J592" s="1" t="s">
        <v>16</v>
      </c>
      <c r="K592" s="4" t="s">
        <v>16</v>
      </c>
      <c r="L592" s="1" t="s">
        <v>23</v>
      </c>
      <c r="M592" s="1" t="s">
        <v>1649</v>
      </c>
      <c r="N592" s="7" t="s">
        <v>16</v>
      </c>
      <c r="O592" s="6" t="str">
        <f>IFERROR(VLOOKUP(K592,'2. Buzzi Admin Only'!Q:R,2,0),"")</f>
        <v/>
      </c>
    </row>
    <row r="593" spans="1:15" ht="15.75" customHeight="1" x14ac:dyDescent="0.25">
      <c r="A593" s="1" t="s">
        <v>1650</v>
      </c>
      <c r="B593" s="1" t="s">
        <v>16</v>
      </c>
      <c r="C593" s="1" t="s">
        <v>60</v>
      </c>
      <c r="D593" s="2" t="s">
        <v>1241</v>
      </c>
      <c r="E593" s="1" t="s">
        <v>992</v>
      </c>
      <c r="F593" s="1" t="s">
        <v>20</v>
      </c>
      <c r="G593" s="1" t="s">
        <v>44</v>
      </c>
      <c r="H593" s="1" t="s">
        <v>1651</v>
      </c>
      <c r="I593" s="1" t="s">
        <v>16</v>
      </c>
      <c r="J593" s="1" t="s">
        <v>16</v>
      </c>
      <c r="K593" s="4" t="s">
        <v>16</v>
      </c>
      <c r="L593" s="1" t="s">
        <v>23</v>
      </c>
      <c r="M593" s="1" t="s">
        <v>68</v>
      </c>
      <c r="N593" s="7" t="s">
        <v>16</v>
      </c>
      <c r="O593" s="6" t="str">
        <f>IFERROR(VLOOKUP(K593,'2. Buzzi Admin Only'!Q:R,2,0),"")</f>
        <v/>
      </c>
    </row>
    <row r="594" spans="1:15" ht="15.75" customHeight="1" x14ac:dyDescent="0.25">
      <c r="A594" s="1" t="s">
        <v>1652</v>
      </c>
      <c r="B594" s="1" t="s">
        <v>158</v>
      </c>
      <c r="C594" s="1" t="s">
        <v>16</v>
      </c>
      <c r="D594" s="2" t="s">
        <v>1653</v>
      </c>
      <c r="E594" s="1" t="s">
        <v>19</v>
      </c>
      <c r="F594" s="1" t="s">
        <v>20</v>
      </c>
      <c r="G594" s="1" t="s">
        <v>28</v>
      </c>
      <c r="H594" s="1" t="s">
        <v>1654</v>
      </c>
      <c r="I594" s="1" t="s">
        <v>16</v>
      </c>
      <c r="J594" s="1" t="s">
        <v>16</v>
      </c>
      <c r="K594" s="4" t="s">
        <v>16</v>
      </c>
      <c r="L594" s="1" t="s">
        <v>23</v>
      </c>
      <c r="M594" s="1" t="s">
        <v>58</v>
      </c>
      <c r="N594" s="7" t="s">
        <v>16</v>
      </c>
      <c r="O594" s="6" t="str">
        <f>IFERROR(VLOOKUP(K594,'2. Buzzi Admin Only'!Q:R,2,0),"")</f>
        <v/>
      </c>
    </row>
    <row r="595" spans="1:15" ht="15.75" customHeight="1" x14ac:dyDescent="0.25">
      <c r="A595" s="1" t="s">
        <v>1655</v>
      </c>
      <c r="B595" s="1" t="s">
        <v>16</v>
      </c>
      <c r="C595" s="1" t="s">
        <v>16</v>
      </c>
      <c r="D595" s="2" t="s">
        <v>16</v>
      </c>
      <c r="E595" s="1" t="s">
        <v>1656</v>
      </c>
      <c r="F595" s="1" t="s">
        <v>20</v>
      </c>
      <c r="G595" s="1" t="s">
        <v>44</v>
      </c>
      <c r="H595" s="1" t="s">
        <v>1657</v>
      </c>
      <c r="I595" s="1" t="s">
        <v>16</v>
      </c>
      <c r="J595" s="1" t="s">
        <v>16</v>
      </c>
      <c r="K595" s="4" t="s">
        <v>16</v>
      </c>
      <c r="L595" s="1" t="s">
        <v>23</v>
      </c>
      <c r="M595" s="1" t="s">
        <v>16</v>
      </c>
      <c r="N595" s="7" t="s">
        <v>16</v>
      </c>
      <c r="O595" s="6" t="str">
        <f>IFERROR(VLOOKUP(K595,'2. Buzzi Admin Only'!Q:R,2,0),"")</f>
        <v/>
      </c>
    </row>
    <row r="596" spans="1:15" ht="15.75" customHeight="1" x14ac:dyDescent="0.25">
      <c r="A596" s="1" t="s">
        <v>1658</v>
      </c>
      <c r="B596" s="1" t="s">
        <v>38</v>
      </c>
      <c r="C596" s="1" t="s">
        <v>60</v>
      </c>
      <c r="D596" s="2" t="s">
        <v>1659</v>
      </c>
      <c r="E596" s="1" t="s">
        <v>1660</v>
      </c>
      <c r="F596" s="1" t="s">
        <v>20</v>
      </c>
      <c r="G596" s="1" t="s">
        <v>21</v>
      </c>
      <c r="H596" s="1" t="s">
        <v>1661</v>
      </c>
      <c r="I596" s="1" t="s">
        <v>16</v>
      </c>
      <c r="J596" s="1" t="s">
        <v>57</v>
      </c>
      <c r="K596" s="4" t="s">
        <v>16</v>
      </c>
      <c r="L596" s="1" t="s">
        <v>23</v>
      </c>
      <c r="M596" s="1" t="s">
        <v>1662</v>
      </c>
      <c r="N596" s="7" t="s">
        <v>16</v>
      </c>
      <c r="O596" s="6" t="str">
        <f>IFERROR(VLOOKUP(K596,'2. Buzzi Admin Only'!Q:R,2,0),"")</f>
        <v/>
      </c>
    </row>
    <row r="597" spans="1:15" ht="15.75" customHeight="1" x14ac:dyDescent="0.25">
      <c r="A597" s="1" t="s">
        <v>1663</v>
      </c>
      <c r="B597" s="1" t="s">
        <v>38</v>
      </c>
      <c r="C597" s="1" t="s">
        <v>16</v>
      </c>
      <c r="D597" s="2" t="s">
        <v>1664</v>
      </c>
      <c r="E597" s="1" t="s">
        <v>40</v>
      </c>
      <c r="F597" s="1" t="s">
        <v>20</v>
      </c>
      <c r="G597" s="1" t="s">
        <v>28</v>
      </c>
      <c r="H597" s="1" t="s">
        <v>16</v>
      </c>
      <c r="I597" s="1" t="s">
        <v>16</v>
      </c>
      <c r="J597" s="1" t="s">
        <v>16</v>
      </c>
      <c r="K597" s="4" t="s">
        <v>16</v>
      </c>
      <c r="L597" s="1" t="s">
        <v>23</v>
      </c>
      <c r="M597" s="1" t="s">
        <v>1665</v>
      </c>
      <c r="N597" s="7" t="s">
        <v>16</v>
      </c>
      <c r="O597" s="6" t="str">
        <f>IFERROR(VLOOKUP(K597,'2. Buzzi Admin Only'!Q:R,2,0),"")</f>
        <v/>
      </c>
    </row>
    <row r="598" spans="1:15" ht="15.75" customHeight="1" x14ac:dyDescent="0.25">
      <c r="A598" s="1" t="s">
        <v>1666</v>
      </c>
      <c r="B598" s="1" t="s">
        <v>16</v>
      </c>
      <c r="C598" s="1" t="s">
        <v>16</v>
      </c>
      <c r="D598" s="2" t="s">
        <v>16</v>
      </c>
      <c r="E598" s="1" t="s">
        <v>40</v>
      </c>
      <c r="F598" s="1" t="s">
        <v>20</v>
      </c>
      <c r="G598" s="1" t="s">
        <v>28</v>
      </c>
      <c r="H598" s="1" t="s">
        <v>1667</v>
      </c>
      <c r="I598" s="1" t="s">
        <v>16</v>
      </c>
      <c r="J598" s="1" t="s">
        <v>16</v>
      </c>
      <c r="K598" s="4" t="s">
        <v>16</v>
      </c>
      <c r="L598" s="1" t="s">
        <v>23</v>
      </c>
      <c r="M598" s="1" t="s">
        <v>16</v>
      </c>
      <c r="N598" s="7" t="s">
        <v>16</v>
      </c>
      <c r="O598" s="6" t="str">
        <f>IFERROR(VLOOKUP(K598,'2. Buzzi Admin Only'!Q:R,2,0),"")</f>
        <v/>
      </c>
    </row>
    <row r="599" spans="1:15" ht="15.75" customHeight="1" x14ac:dyDescent="0.25">
      <c r="A599" s="1" t="s">
        <v>1668</v>
      </c>
      <c r="B599" s="1" t="s">
        <v>38</v>
      </c>
      <c r="C599" s="1" t="s">
        <v>16</v>
      </c>
      <c r="D599" s="2" t="s">
        <v>39</v>
      </c>
      <c r="E599" s="1" t="s">
        <v>1478</v>
      </c>
      <c r="F599" s="1" t="s">
        <v>20</v>
      </c>
      <c r="G599" s="1" t="s">
        <v>44</v>
      </c>
      <c r="H599" s="1" t="s">
        <v>1669</v>
      </c>
      <c r="I599" s="1" t="s">
        <v>16</v>
      </c>
      <c r="J599" s="1" t="s">
        <v>16</v>
      </c>
      <c r="K599" s="4" t="s">
        <v>16</v>
      </c>
      <c r="L599" s="1" t="s">
        <v>23</v>
      </c>
      <c r="M599" s="1" t="s">
        <v>1670</v>
      </c>
      <c r="N599" s="7" t="s">
        <v>16</v>
      </c>
      <c r="O599" s="6" t="str">
        <f>IFERROR(VLOOKUP(K599,'2. Buzzi Admin Only'!Q:R,2,0),"")</f>
        <v/>
      </c>
    </row>
    <row r="600" spans="1:15" ht="15.75" customHeight="1" x14ac:dyDescent="0.25">
      <c r="A600" s="1" t="s">
        <v>1671</v>
      </c>
      <c r="B600" s="1" t="s">
        <v>158</v>
      </c>
      <c r="C600" s="1" t="s">
        <v>16</v>
      </c>
      <c r="D600" s="2" t="s">
        <v>1672</v>
      </c>
      <c r="E600" s="1" t="s">
        <v>992</v>
      </c>
      <c r="F600" s="1" t="s">
        <v>20</v>
      </c>
      <c r="G600" s="1" t="s">
        <v>21</v>
      </c>
      <c r="H600" s="1" t="s">
        <v>1673</v>
      </c>
      <c r="I600" s="1" t="s">
        <v>16</v>
      </c>
      <c r="J600" s="1" t="s">
        <v>57</v>
      </c>
      <c r="K600" s="4" t="s">
        <v>16</v>
      </c>
      <c r="L600" s="1" t="s">
        <v>23</v>
      </c>
      <c r="M600" s="1" t="s">
        <v>58</v>
      </c>
      <c r="N600" s="7" t="s">
        <v>16</v>
      </c>
      <c r="O600" s="6" t="str">
        <f>IFERROR(VLOOKUP(K600,'2. Buzzi Admin Only'!Q:R,2,0),"")</f>
        <v/>
      </c>
    </row>
    <row r="601" spans="1:15" ht="15.75" customHeight="1" x14ac:dyDescent="0.25">
      <c r="A601" s="1" t="s">
        <v>1674</v>
      </c>
      <c r="B601" s="1" t="s">
        <v>138</v>
      </c>
      <c r="C601" s="1" t="s">
        <v>765</v>
      </c>
      <c r="D601" s="2" t="s">
        <v>1675</v>
      </c>
      <c r="E601" s="1" t="s">
        <v>1676</v>
      </c>
      <c r="F601" s="1" t="s">
        <v>20</v>
      </c>
      <c r="G601" s="1" t="s">
        <v>28</v>
      </c>
      <c r="H601" s="1" t="s">
        <v>1677</v>
      </c>
      <c r="I601" s="1" t="s">
        <v>16</v>
      </c>
      <c r="J601" s="1" t="s">
        <v>57</v>
      </c>
      <c r="K601" s="4" t="s">
        <v>16</v>
      </c>
      <c r="L601" s="1" t="s">
        <v>23</v>
      </c>
      <c r="M601" s="1" t="s">
        <v>58</v>
      </c>
      <c r="N601" s="7" t="s">
        <v>16</v>
      </c>
      <c r="O601" s="6" t="str">
        <f>IFERROR(VLOOKUP(K601,'2. Buzzi Admin Only'!Q:R,2,0),"")</f>
        <v/>
      </c>
    </row>
    <row r="602" spans="1:15" ht="15.75" customHeight="1" x14ac:dyDescent="0.25">
      <c r="A602" s="1" t="s">
        <v>1678</v>
      </c>
      <c r="B602" s="1" t="s">
        <v>1679</v>
      </c>
      <c r="C602" s="1" t="s">
        <v>16</v>
      </c>
      <c r="D602" s="2" t="s">
        <v>1471</v>
      </c>
      <c r="E602" s="1" t="s">
        <v>1680</v>
      </c>
      <c r="F602" s="1" t="s">
        <v>20</v>
      </c>
      <c r="G602" s="1" t="s">
        <v>21</v>
      </c>
      <c r="H602" s="1" t="s">
        <v>1681</v>
      </c>
      <c r="I602" s="1" t="s">
        <v>16</v>
      </c>
      <c r="J602" s="1" t="s">
        <v>16</v>
      </c>
      <c r="K602" s="4" t="s">
        <v>16</v>
      </c>
      <c r="L602" s="1" t="s">
        <v>23</v>
      </c>
      <c r="M602" s="1" t="s">
        <v>52</v>
      </c>
      <c r="N602" s="7" t="s">
        <v>16</v>
      </c>
      <c r="O602" s="6" t="str">
        <f>IFERROR(VLOOKUP(K602,'2. Buzzi Admin Only'!Q:R,2,0),"")</f>
        <v/>
      </c>
    </row>
    <row r="603" spans="1:15" ht="15.75" customHeight="1" x14ac:dyDescent="0.25">
      <c r="A603" s="1" t="s">
        <v>1682</v>
      </c>
      <c r="B603" s="1" t="s">
        <v>16</v>
      </c>
      <c r="C603" s="1" t="s">
        <v>16</v>
      </c>
      <c r="D603" s="2" t="s">
        <v>16</v>
      </c>
      <c r="E603" s="1" t="s">
        <v>40</v>
      </c>
      <c r="F603" s="1" t="s">
        <v>20</v>
      </c>
      <c r="G603" s="1" t="s">
        <v>21</v>
      </c>
      <c r="H603" s="1" t="s">
        <v>1683</v>
      </c>
      <c r="I603" s="1" t="s">
        <v>16</v>
      </c>
      <c r="J603" s="1" t="s">
        <v>16</v>
      </c>
      <c r="K603" s="4" t="s">
        <v>16</v>
      </c>
      <c r="L603" s="1" t="s">
        <v>71</v>
      </c>
      <c r="M603" s="1" t="s">
        <v>16</v>
      </c>
      <c r="N603" s="7" t="s">
        <v>16</v>
      </c>
      <c r="O603" s="6" t="str">
        <f>IFERROR(VLOOKUP(K603,'2. Buzzi Admin Only'!Q:R,2,0),"")</f>
        <v/>
      </c>
    </row>
    <row r="604" spans="1:15" ht="15.75" customHeight="1" x14ac:dyDescent="0.25">
      <c r="A604" s="1" t="s">
        <v>1684</v>
      </c>
      <c r="B604" s="1" t="s">
        <v>138</v>
      </c>
      <c r="C604" s="1" t="s">
        <v>607</v>
      </c>
      <c r="D604" s="2" t="s">
        <v>1685</v>
      </c>
      <c r="E604" s="1" t="s">
        <v>1686</v>
      </c>
      <c r="F604" s="1" t="s">
        <v>20</v>
      </c>
      <c r="G604" s="1" t="s">
        <v>21</v>
      </c>
      <c r="H604" s="1" t="s">
        <v>16</v>
      </c>
      <c r="I604" s="1" t="s">
        <v>16</v>
      </c>
      <c r="J604" s="1" t="s">
        <v>57</v>
      </c>
      <c r="K604" s="4" t="s">
        <v>16</v>
      </c>
      <c r="L604" s="1" t="s">
        <v>23</v>
      </c>
      <c r="M604" s="1" t="s">
        <v>58</v>
      </c>
      <c r="N604" s="7" t="s">
        <v>16</v>
      </c>
      <c r="O604" s="6" t="str">
        <f>IFERROR(VLOOKUP(K604,'2. Buzzi Admin Only'!Q:R,2,0),"")</f>
        <v/>
      </c>
    </row>
    <row r="605" spans="1:15" ht="15.75" customHeight="1" x14ac:dyDescent="0.25">
      <c r="A605" s="1" t="s">
        <v>1687</v>
      </c>
      <c r="B605" s="1" t="s">
        <v>138</v>
      </c>
      <c r="C605" s="1" t="s">
        <v>16</v>
      </c>
      <c r="D605" s="2" t="s">
        <v>1688</v>
      </c>
      <c r="E605" s="1" t="s">
        <v>778</v>
      </c>
      <c r="F605" s="1" t="s">
        <v>20</v>
      </c>
      <c r="G605" s="1" t="s">
        <v>21</v>
      </c>
      <c r="H605" s="1" t="s">
        <v>1689</v>
      </c>
      <c r="I605" s="1" t="s">
        <v>16</v>
      </c>
      <c r="J605" s="1" t="s">
        <v>16</v>
      </c>
      <c r="K605" s="4" t="s">
        <v>16</v>
      </c>
      <c r="L605" s="1" t="s">
        <v>23</v>
      </c>
      <c r="M605" s="1" t="s">
        <v>68</v>
      </c>
      <c r="N605" s="7" t="s">
        <v>16</v>
      </c>
      <c r="O605" s="6" t="str">
        <f>IFERROR(VLOOKUP(K605,'2. Buzzi Admin Only'!Q:R,2,0),"")</f>
        <v/>
      </c>
    </row>
    <row r="606" spans="1:15" ht="15.75" customHeight="1" x14ac:dyDescent="0.25">
      <c r="A606" s="1" t="s">
        <v>1690</v>
      </c>
      <c r="B606" s="1" t="s">
        <v>138</v>
      </c>
      <c r="C606" s="1" t="s">
        <v>16</v>
      </c>
      <c r="D606" s="2" t="s">
        <v>77</v>
      </c>
      <c r="E606" s="1" t="s">
        <v>1691</v>
      </c>
      <c r="F606" s="1" t="s">
        <v>20</v>
      </c>
      <c r="G606" s="1" t="s">
        <v>21</v>
      </c>
      <c r="H606" s="1" t="s">
        <v>1692</v>
      </c>
      <c r="I606" s="1" t="s">
        <v>16</v>
      </c>
      <c r="J606" s="1" t="s">
        <v>57</v>
      </c>
      <c r="K606" s="4" t="s">
        <v>16</v>
      </c>
      <c r="L606" s="1" t="s">
        <v>23</v>
      </c>
      <c r="M606" s="1" t="s">
        <v>58</v>
      </c>
      <c r="N606" s="7" t="s">
        <v>16</v>
      </c>
      <c r="O606" s="6" t="str">
        <f>IFERROR(VLOOKUP(K606,'2. Buzzi Admin Only'!Q:R,2,0),"")</f>
        <v/>
      </c>
    </row>
    <row r="607" spans="1:15" ht="15.75" customHeight="1" x14ac:dyDescent="0.25">
      <c r="A607" s="1" t="s">
        <v>1693</v>
      </c>
      <c r="B607" s="1" t="s">
        <v>138</v>
      </c>
      <c r="C607" s="1" t="s">
        <v>16</v>
      </c>
      <c r="D607" s="2" t="s">
        <v>1694</v>
      </c>
      <c r="E607" s="1" t="s">
        <v>40</v>
      </c>
      <c r="F607" s="1" t="s">
        <v>20</v>
      </c>
      <c r="G607" s="1" t="s">
        <v>21</v>
      </c>
      <c r="H607" s="1" t="s">
        <v>1695</v>
      </c>
      <c r="I607" s="1" t="s">
        <v>16</v>
      </c>
      <c r="J607" s="1" t="s">
        <v>16</v>
      </c>
      <c r="K607" s="4" t="s">
        <v>16</v>
      </c>
      <c r="L607" s="1" t="s">
        <v>23</v>
      </c>
      <c r="M607" s="1" t="s">
        <v>16</v>
      </c>
      <c r="N607" s="7" t="s">
        <v>16</v>
      </c>
      <c r="O607" s="6" t="str">
        <f>IFERROR(VLOOKUP(K607,'2. Buzzi Admin Only'!Q:R,2,0),"")</f>
        <v/>
      </c>
    </row>
    <row r="608" spans="1:15" ht="15.75" customHeight="1" x14ac:dyDescent="0.25">
      <c r="A608" s="1" t="s">
        <v>1696</v>
      </c>
      <c r="B608" s="1" t="s">
        <v>38</v>
      </c>
      <c r="C608" s="1" t="s">
        <v>1697</v>
      </c>
      <c r="D608" s="2" t="s">
        <v>830</v>
      </c>
      <c r="E608" s="1" t="s">
        <v>1698</v>
      </c>
      <c r="F608" s="1" t="s">
        <v>20</v>
      </c>
      <c r="G608" s="1" t="s">
        <v>28</v>
      </c>
      <c r="H608" s="1" t="s">
        <v>1699</v>
      </c>
      <c r="I608" s="1" t="s">
        <v>16</v>
      </c>
      <c r="J608" s="1" t="s">
        <v>16</v>
      </c>
      <c r="K608" s="4" t="s">
        <v>16</v>
      </c>
      <c r="L608" s="1" t="s">
        <v>23</v>
      </c>
      <c r="M608" s="1" t="s">
        <v>68</v>
      </c>
      <c r="N608" s="7" t="s">
        <v>16</v>
      </c>
      <c r="O608" s="6" t="str">
        <f>IFERROR(VLOOKUP(K608,'2. Buzzi Admin Only'!Q:R,2,0),"")</f>
        <v/>
      </c>
    </row>
    <row r="609" spans="1:15" ht="15.75" customHeight="1" x14ac:dyDescent="0.25">
      <c r="A609" s="1" t="s">
        <v>1700</v>
      </c>
      <c r="B609" s="1" t="s">
        <v>16</v>
      </c>
      <c r="C609" s="1" t="s">
        <v>16</v>
      </c>
      <c r="D609" s="2" t="s">
        <v>16</v>
      </c>
      <c r="E609" s="1" t="s">
        <v>40</v>
      </c>
      <c r="F609" s="1" t="s">
        <v>20</v>
      </c>
      <c r="G609" s="1" t="s">
        <v>21</v>
      </c>
      <c r="H609" s="1" t="s">
        <v>16</v>
      </c>
      <c r="I609" s="1" t="s">
        <v>16</v>
      </c>
      <c r="J609" s="1" t="s">
        <v>16</v>
      </c>
      <c r="K609" s="4" t="s">
        <v>16</v>
      </c>
      <c r="L609" s="1" t="s">
        <v>71</v>
      </c>
      <c r="M609" s="1" t="s">
        <v>16</v>
      </c>
      <c r="N609" s="7" t="s">
        <v>16</v>
      </c>
      <c r="O609" s="6" t="str">
        <f>IFERROR(VLOOKUP(K609,'2. Buzzi Admin Only'!Q:R,2,0),"")</f>
        <v/>
      </c>
    </row>
    <row r="610" spans="1:15" ht="15.75" customHeight="1" x14ac:dyDescent="0.25">
      <c r="A610" s="1" t="s">
        <v>1701</v>
      </c>
      <c r="B610" s="1" t="s">
        <v>38</v>
      </c>
      <c r="C610" s="1" t="s">
        <v>16</v>
      </c>
      <c r="D610" s="2" t="s">
        <v>1702</v>
      </c>
      <c r="E610" s="1" t="s">
        <v>40</v>
      </c>
      <c r="F610" s="1" t="s">
        <v>20</v>
      </c>
      <c r="G610" s="1" t="s">
        <v>21</v>
      </c>
      <c r="H610" s="1" t="s">
        <v>16</v>
      </c>
      <c r="I610" s="1" t="s">
        <v>16</v>
      </c>
      <c r="J610" s="1" t="s">
        <v>16</v>
      </c>
      <c r="K610" s="4" t="s">
        <v>16</v>
      </c>
      <c r="L610" s="1" t="s">
        <v>23</v>
      </c>
      <c r="M610" s="1" t="s">
        <v>1703</v>
      </c>
      <c r="N610" s="7" t="s">
        <v>16</v>
      </c>
      <c r="O610" s="6" t="str">
        <f>IFERROR(VLOOKUP(K610,'2. Buzzi Admin Only'!Q:R,2,0),"")</f>
        <v/>
      </c>
    </row>
    <row r="611" spans="1:15" ht="15.75" customHeight="1" x14ac:dyDescent="0.25">
      <c r="A611" s="1" t="s">
        <v>1704</v>
      </c>
      <c r="B611" s="1" t="s">
        <v>16</v>
      </c>
      <c r="C611" s="1" t="s">
        <v>16</v>
      </c>
      <c r="D611" s="2" t="s">
        <v>16</v>
      </c>
      <c r="E611" s="1" t="s">
        <v>40</v>
      </c>
      <c r="F611" s="1" t="s">
        <v>16</v>
      </c>
      <c r="G611" s="1" t="s">
        <v>16</v>
      </c>
      <c r="H611" s="1" t="s">
        <v>16</v>
      </c>
      <c r="I611" s="1" t="s">
        <v>16</v>
      </c>
      <c r="J611" s="1" t="s">
        <v>16</v>
      </c>
      <c r="K611" s="4" t="s">
        <v>16</v>
      </c>
      <c r="L611" s="1" t="s">
        <v>71</v>
      </c>
      <c r="M611" s="1" t="s">
        <v>16</v>
      </c>
      <c r="N611" s="7" t="s">
        <v>16</v>
      </c>
      <c r="O611" s="6" t="str">
        <f>IFERROR(VLOOKUP(K611,'2. Buzzi Admin Only'!Q:R,2,0),"")</f>
        <v/>
      </c>
    </row>
    <row r="612" spans="1:15" ht="15.75" customHeight="1" x14ac:dyDescent="0.25">
      <c r="A612" s="1" t="s">
        <v>1705</v>
      </c>
      <c r="B612" s="1" t="s">
        <v>16</v>
      </c>
      <c r="C612" s="1" t="s">
        <v>16</v>
      </c>
      <c r="D612" s="2" t="s">
        <v>16</v>
      </c>
      <c r="E612" s="1" t="s">
        <v>40</v>
      </c>
      <c r="F612" s="1" t="s">
        <v>20</v>
      </c>
      <c r="G612" s="1" t="s">
        <v>70</v>
      </c>
      <c r="H612" s="1" t="s">
        <v>16</v>
      </c>
      <c r="I612" s="1" t="s">
        <v>16</v>
      </c>
      <c r="J612" s="1" t="s">
        <v>16</v>
      </c>
      <c r="K612" s="4" t="s">
        <v>16</v>
      </c>
      <c r="L612" s="1" t="s">
        <v>71</v>
      </c>
      <c r="M612" s="1" t="s">
        <v>16</v>
      </c>
      <c r="N612" s="7" t="s">
        <v>16</v>
      </c>
      <c r="O612" s="6" t="str">
        <f>IFERROR(VLOOKUP(K612,'2. Buzzi Admin Only'!Q:R,2,0),"")</f>
        <v/>
      </c>
    </row>
    <row r="613" spans="1:15" ht="15.75" customHeight="1" x14ac:dyDescent="0.25">
      <c r="A613" s="1" t="s">
        <v>1706</v>
      </c>
      <c r="B613" s="1" t="s">
        <v>138</v>
      </c>
      <c r="C613" s="1" t="s">
        <v>16</v>
      </c>
      <c r="D613" s="2" t="s">
        <v>1707</v>
      </c>
      <c r="E613" s="1" t="s">
        <v>40</v>
      </c>
      <c r="F613" s="1" t="s">
        <v>20</v>
      </c>
      <c r="G613" s="1" t="s">
        <v>28</v>
      </c>
      <c r="H613" s="1" t="s">
        <v>16</v>
      </c>
      <c r="I613" s="1" t="s">
        <v>16</v>
      </c>
      <c r="J613" s="1" t="s">
        <v>16</v>
      </c>
      <c r="K613" s="4" t="s">
        <v>16</v>
      </c>
      <c r="L613" s="1" t="s">
        <v>23</v>
      </c>
      <c r="M613" s="1" t="s">
        <v>16</v>
      </c>
      <c r="N613" s="7" t="s">
        <v>16</v>
      </c>
      <c r="O613" s="6" t="str">
        <f>IFERROR(VLOOKUP(K613,'2. Buzzi Admin Only'!Q:R,2,0),"")</f>
        <v/>
      </c>
    </row>
    <row r="614" spans="1:15" ht="15.75" customHeight="1" x14ac:dyDescent="0.25">
      <c r="A614" s="1" t="s">
        <v>1708</v>
      </c>
      <c r="B614" s="1" t="s">
        <v>16</v>
      </c>
      <c r="C614" s="1" t="s">
        <v>16</v>
      </c>
      <c r="D614" s="2" t="s">
        <v>1241</v>
      </c>
      <c r="E614" s="1" t="s">
        <v>1709</v>
      </c>
      <c r="F614" s="1" t="s">
        <v>20</v>
      </c>
      <c r="G614" s="1" t="s">
        <v>21</v>
      </c>
      <c r="H614" s="1" t="s">
        <v>1710</v>
      </c>
      <c r="I614" s="1" t="s">
        <v>16</v>
      </c>
      <c r="J614" s="1" t="s">
        <v>16</v>
      </c>
      <c r="K614" s="4" t="s">
        <v>16</v>
      </c>
      <c r="L614" s="1" t="s">
        <v>23</v>
      </c>
      <c r="M614" s="1" t="s">
        <v>52</v>
      </c>
      <c r="N614" s="7" t="s">
        <v>16</v>
      </c>
      <c r="O614" s="6" t="str">
        <f>IFERROR(VLOOKUP(K614,'2. Buzzi Admin Only'!Q:R,2,0),"")</f>
        <v/>
      </c>
    </row>
    <row r="615" spans="1:15" ht="15.75" customHeight="1" x14ac:dyDescent="0.25">
      <c r="A615" s="1" t="s">
        <v>1711</v>
      </c>
      <c r="B615" s="1" t="s">
        <v>138</v>
      </c>
      <c r="C615" s="1" t="s">
        <v>60</v>
      </c>
      <c r="D615" s="2" t="s">
        <v>982</v>
      </c>
      <c r="E615" s="1" t="s">
        <v>19</v>
      </c>
      <c r="F615" s="1" t="s">
        <v>20</v>
      </c>
      <c r="G615" s="1" t="s">
        <v>28</v>
      </c>
      <c r="H615" s="1" t="s">
        <v>1712</v>
      </c>
      <c r="I615" s="1" t="s">
        <v>16</v>
      </c>
      <c r="J615" s="1" t="s">
        <v>16</v>
      </c>
      <c r="K615" s="4" t="s">
        <v>16</v>
      </c>
      <c r="L615" s="1" t="s">
        <v>23</v>
      </c>
      <c r="M615" s="1" t="s">
        <v>58</v>
      </c>
      <c r="N615" s="7" t="s">
        <v>16</v>
      </c>
      <c r="O615" s="6" t="str">
        <f>IFERROR(VLOOKUP(K615,'2. Buzzi Admin Only'!Q:R,2,0),"")</f>
        <v/>
      </c>
    </row>
    <row r="616" spans="1:15" ht="15.75" customHeight="1" x14ac:dyDescent="0.25">
      <c r="A616" s="1" t="s">
        <v>1713</v>
      </c>
      <c r="B616" s="1" t="s">
        <v>16</v>
      </c>
      <c r="C616" s="1" t="s">
        <v>16</v>
      </c>
      <c r="D616" s="2" t="s">
        <v>16</v>
      </c>
      <c r="E616" s="1" t="s">
        <v>1714</v>
      </c>
      <c r="F616" s="1" t="s">
        <v>16</v>
      </c>
      <c r="G616" s="1" t="s">
        <v>16</v>
      </c>
      <c r="H616" s="1" t="s">
        <v>16</v>
      </c>
      <c r="I616" s="1" t="s">
        <v>16</v>
      </c>
      <c r="J616" s="1" t="s">
        <v>16</v>
      </c>
      <c r="K616" s="4" t="s">
        <v>16</v>
      </c>
      <c r="L616" s="1" t="s">
        <v>71</v>
      </c>
      <c r="M616" s="1" t="s">
        <v>16</v>
      </c>
      <c r="N616" s="7" t="s">
        <v>16</v>
      </c>
      <c r="O616" s="6" t="str">
        <f>IFERROR(VLOOKUP(K616,'2. Buzzi Admin Only'!Q:R,2,0),"")</f>
        <v/>
      </c>
    </row>
    <row r="617" spans="1:15" ht="15.75" customHeight="1" x14ac:dyDescent="0.25">
      <c r="A617" s="1" t="s">
        <v>1715</v>
      </c>
      <c r="B617" s="1" t="s">
        <v>158</v>
      </c>
      <c r="C617" s="1" t="s">
        <v>765</v>
      </c>
      <c r="D617" s="2" t="s">
        <v>1716</v>
      </c>
      <c r="E617" s="1" t="s">
        <v>19</v>
      </c>
      <c r="F617" s="1" t="s">
        <v>20</v>
      </c>
      <c r="G617" s="1" t="s">
        <v>28</v>
      </c>
      <c r="H617" s="1" t="s">
        <v>1717</v>
      </c>
      <c r="I617" s="1" t="s">
        <v>16</v>
      </c>
      <c r="J617" s="1" t="s">
        <v>16</v>
      </c>
      <c r="K617" s="4" t="s">
        <v>16</v>
      </c>
      <c r="L617" s="1" t="s">
        <v>23</v>
      </c>
      <c r="M617" s="1" t="s">
        <v>1718</v>
      </c>
      <c r="N617" s="7" t="s">
        <v>16</v>
      </c>
      <c r="O617" s="6" t="str">
        <f>IFERROR(VLOOKUP(K617,'2. Buzzi Admin Only'!Q:R,2,0),"")</f>
        <v/>
      </c>
    </row>
    <row r="618" spans="1:15" ht="15.75" customHeight="1" x14ac:dyDescent="0.25">
      <c r="A618" s="1" t="s">
        <v>1719</v>
      </c>
      <c r="B618" s="1" t="s">
        <v>138</v>
      </c>
      <c r="C618" s="1" t="s">
        <v>16</v>
      </c>
      <c r="D618" s="2" t="s">
        <v>1207</v>
      </c>
      <c r="E618" s="1" t="s">
        <v>40</v>
      </c>
      <c r="F618" s="1" t="s">
        <v>20</v>
      </c>
      <c r="G618" s="1" t="s">
        <v>21</v>
      </c>
      <c r="H618" s="1" t="s">
        <v>1720</v>
      </c>
      <c r="I618" s="1" t="s">
        <v>16</v>
      </c>
      <c r="J618" s="1" t="s">
        <v>16</v>
      </c>
      <c r="K618" s="4" t="s">
        <v>16</v>
      </c>
      <c r="L618" s="1" t="s">
        <v>23</v>
      </c>
      <c r="M618" s="1" t="s">
        <v>58</v>
      </c>
      <c r="N618" s="7" t="s">
        <v>16</v>
      </c>
      <c r="O618" s="6" t="str">
        <f>IFERROR(VLOOKUP(K618,'2. Buzzi Admin Only'!Q:R,2,0),"")</f>
        <v/>
      </c>
    </row>
    <row r="619" spans="1:15" ht="15.75" customHeight="1" x14ac:dyDescent="0.25">
      <c r="A619" s="1" t="s">
        <v>1721</v>
      </c>
      <c r="B619" s="1" t="s">
        <v>16</v>
      </c>
      <c r="C619" s="1" t="s">
        <v>16</v>
      </c>
      <c r="D619" s="2" t="s">
        <v>16</v>
      </c>
      <c r="E619" s="1" t="s">
        <v>40</v>
      </c>
      <c r="F619" s="1" t="s">
        <v>16</v>
      </c>
      <c r="G619" s="1" t="s">
        <v>16</v>
      </c>
      <c r="H619" s="1" t="s">
        <v>16</v>
      </c>
      <c r="I619" s="1" t="s">
        <v>16</v>
      </c>
      <c r="J619" s="1" t="s">
        <v>16</v>
      </c>
      <c r="K619" s="4" t="s">
        <v>16</v>
      </c>
      <c r="L619" s="1" t="s">
        <v>71</v>
      </c>
      <c r="M619" s="1" t="s">
        <v>16</v>
      </c>
      <c r="N619" s="7" t="s">
        <v>16</v>
      </c>
      <c r="O619" s="6" t="str">
        <f>IFERROR(VLOOKUP(K619,'2. Buzzi Admin Only'!Q:R,2,0),"")</f>
        <v/>
      </c>
    </row>
    <row r="620" spans="1:15" ht="15.75" customHeight="1" x14ac:dyDescent="0.25">
      <c r="A620" s="1" t="s">
        <v>1722</v>
      </c>
      <c r="B620" s="1" t="s">
        <v>138</v>
      </c>
      <c r="C620" s="1" t="s">
        <v>60</v>
      </c>
      <c r="D620" s="2" t="s">
        <v>1723</v>
      </c>
      <c r="E620" s="1" t="s">
        <v>19</v>
      </c>
      <c r="F620" s="1" t="s">
        <v>20</v>
      </c>
      <c r="G620" s="1" t="s">
        <v>28</v>
      </c>
      <c r="H620" s="1" t="s">
        <v>1724</v>
      </c>
      <c r="I620" s="1" t="s">
        <v>16</v>
      </c>
      <c r="J620" s="1" t="s">
        <v>16</v>
      </c>
      <c r="K620" s="4" t="s">
        <v>16</v>
      </c>
      <c r="L620" s="1" t="s">
        <v>23</v>
      </c>
      <c r="M620" s="1" t="s">
        <v>58</v>
      </c>
      <c r="N620" s="7" t="s">
        <v>16</v>
      </c>
      <c r="O620" s="6" t="str">
        <f>IFERROR(VLOOKUP(K620,'2. Buzzi Admin Only'!Q:R,2,0),"")</f>
        <v/>
      </c>
    </row>
    <row r="621" spans="1:15" ht="15.75" customHeight="1" x14ac:dyDescent="0.25">
      <c r="A621" s="1" t="s">
        <v>1725</v>
      </c>
      <c r="B621" s="1" t="s">
        <v>16</v>
      </c>
      <c r="C621" s="1" t="s">
        <v>16</v>
      </c>
      <c r="D621" s="2" t="s">
        <v>16</v>
      </c>
      <c r="E621" s="1" t="s">
        <v>40</v>
      </c>
      <c r="F621" s="1" t="s">
        <v>20</v>
      </c>
      <c r="G621" s="1" t="s">
        <v>21</v>
      </c>
      <c r="H621" s="1" t="s">
        <v>1726</v>
      </c>
      <c r="I621" s="1" t="s">
        <v>16</v>
      </c>
      <c r="J621" s="1" t="s">
        <v>16</v>
      </c>
      <c r="K621" s="4" t="s">
        <v>16</v>
      </c>
      <c r="L621" s="1" t="s">
        <v>71</v>
      </c>
      <c r="M621" s="1" t="s">
        <v>1727</v>
      </c>
      <c r="N621" s="7" t="s">
        <v>16</v>
      </c>
      <c r="O621" s="6" t="str">
        <f>IFERROR(VLOOKUP(K621,'2. Buzzi Admin Only'!Q:R,2,0),"")</f>
        <v/>
      </c>
    </row>
    <row r="622" spans="1:15" ht="15.75" customHeight="1" x14ac:dyDescent="0.25">
      <c r="A622" s="1" t="s">
        <v>1728</v>
      </c>
      <c r="B622" s="1" t="s">
        <v>16</v>
      </c>
      <c r="C622" s="1" t="s">
        <v>16</v>
      </c>
      <c r="D622" s="2" t="s">
        <v>16</v>
      </c>
      <c r="E622" s="1" t="s">
        <v>19</v>
      </c>
      <c r="F622" s="1" t="s">
        <v>20</v>
      </c>
      <c r="G622" s="1" t="s">
        <v>44</v>
      </c>
      <c r="H622" s="1" t="s">
        <v>1729</v>
      </c>
      <c r="I622" s="1" t="s">
        <v>16</v>
      </c>
      <c r="J622" s="1" t="s">
        <v>16</v>
      </c>
      <c r="K622" s="4" t="s">
        <v>16</v>
      </c>
      <c r="L622" s="1" t="s">
        <v>23</v>
      </c>
      <c r="M622" s="1" t="s">
        <v>16</v>
      </c>
      <c r="N622" s="7" t="s">
        <v>16</v>
      </c>
      <c r="O622" s="6" t="str">
        <f>IFERROR(VLOOKUP(K622,'2. Buzzi Admin Only'!Q:R,2,0),"")</f>
        <v/>
      </c>
    </row>
    <row r="623" spans="1:15" ht="15.75" customHeight="1" x14ac:dyDescent="0.25">
      <c r="A623" s="1" t="s">
        <v>1730</v>
      </c>
      <c r="B623" s="1" t="s">
        <v>38</v>
      </c>
      <c r="C623" s="1" t="s">
        <v>16</v>
      </c>
      <c r="D623" s="2" t="s">
        <v>830</v>
      </c>
      <c r="E623" s="1" t="s">
        <v>1248</v>
      </c>
      <c r="F623" s="1" t="s">
        <v>20</v>
      </c>
      <c r="G623" s="1" t="s">
        <v>44</v>
      </c>
      <c r="H623" s="1" t="s">
        <v>16</v>
      </c>
      <c r="I623" s="1" t="s">
        <v>16</v>
      </c>
      <c r="J623" s="1" t="s">
        <v>57</v>
      </c>
      <c r="K623" s="10">
        <v>221</v>
      </c>
      <c r="L623" s="1" t="s">
        <v>23</v>
      </c>
      <c r="M623" s="1" t="s">
        <v>58</v>
      </c>
      <c r="N623" s="7" t="s">
        <v>16</v>
      </c>
      <c r="O623" s="6" t="str">
        <f>IFERROR(VLOOKUP(K623,'2. Buzzi Admin Only'!Q:R,2,0),"")</f>
        <v>Pre-Blending</v>
      </c>
    </row>
    <row r="624" spans="1:15" ht="15.75" customHeight="1" x14ac:dyDescent="0.25">
      <c r="A624" s="1" t="s">
        <v>1731</v>
      </c>
      <c r="B624" s="1" t="s">
        <v>16</v>
      </c>
      <c r="C624" s="1" t="s">
        <v>16</v>
      </c>
      <c r="D624" s="2" t="s">
        <v>16</v>
      </c>
      <c r="E624" s="1" t="s">
        <v>1732</v>
      </c>
      <c r="F624" s="1" t="s">
        <v>20</v>
      </c>
      <c r="G624" s="1" t="s">
        <v>28</v>
      </c>
      <c r="H624" s="1" t="s">
        <v>16</v>
      </c>
      <c r="I624" s="1" t="s">
        <v>16</v>
      </c>
      <c r="J624" s="1" t="s">
        <v>16</v>
      </c>
      <c r="K624" s="4" t="s">
        <v>16</v>
      </c>
      <c r="L624" s="1" t="s">
        <v>23</v>
      </c>
      <c r="M624" s="1" t="s">
        <v>16</v>
      </c>
      <c r="N624" s="7" t="s">
        <v>16</v>
      </c>
      <c r="O624" s="6" t="str">
        <f>IFERROR(VLOOKUP(K624,'2. Buzzi Admin Only'!Q:R,2,0),"")</f>
        <v/>
      </c>
    </row>
    <row r="625" spans="1:15" ht="15.75" customHeight="1" x14ac:dyDescent="0.25">
      <c r="A625" s="1" t="s">
        <v>1733</v>
      </c>
      <c r="B625" s="1" t="s">
        <v>138</v>
      </c>
      <c r="C625" s="1" t="s">
        <v>1734</v>
      </c>
      <c r="D625" s="2" t="s">
        <v>1735</v>
      </c>
      <c r="E625" s="1" t="s">
        <v>1472</v>
      </c>
      <c r="F625" s="1" t="s">
        <v>20</v>
      </c>
      <c r="G625" s="1" t="s">
        <v>28</v>
      </c>
      <c r="H625" s="1" t="s">
        <v>1736</v>
      </c>
      <c r="I625" s="1" t="s">
        <v>16</v>
      </c>
      <c r="J625" s="1" t="s">
        <v>16</v>
      </c>
      <c r="K625" s="4" t="s">
        <v>16</v>
      </c>
      <c r="L625" s="1" t="s">
        <v>23</v>
      </c>
      <c r="M625" s="1" t="s">
        <v>58</v>
      </c>
      <c r="N625" s="7" t="s">
        <v>16</v>
      </c>
      <c r="O625" s="6" t="str">
        <f>IFERROR(VLOOKUP(K625,'2. Buzzi Admin Only'!Q:R,2,0),"")</f>
        <v/>
      </c>
    </row>
    <row r="626" spans="1:15" ht="15.75" customHeight="1" x14ac:dyDescent="0.25">
      <c r="A626" s="1" t="s">
        <v>1737</v>
      </c>
      <c r="B626" s="1" t="s">
        <v>38</v>
      </c>
      <c r="C626" s="1" t="s">
        <v>16</v>
      </c>
      <c r="D626" s="2" t="s">
        <v>1738</v>
      </c>
      <c r="E626" s="1" t="s">
        <v>1739</v>
      </c>
      <c r="F626" s="1" t="s">
        <v>20</v>
      </c>
      <c r="G626" s="1" t="s">
        <v>21</v>
      </c>
      <c r="H626" s="1" t="s">
        <v>1740</v>
      </c>
      <c r="I626" s="1" t="s">
        <v>16</v>
      </c>
      <c r="J626" s="1" t="s">
        <v>57</v>
      </c>
      <c r="K626" s="10">
        <v>700</v>
      </c>
      <c r="L626" s="1" t="s">
        <v>23</v>
      </c>
      <c r="M626" s="1" t="s">
        <v>58</v>
      </c>
      <c r="N626" s="7" t="s">
        <v>16</v>
      </c>
      <c r="O626" s="6" t="str">
        <f>IFERROR(VLOOKUP(K626,'2. Buzzi Admin Only'!Q:R,2,0),"")</f>
        <v>Power Generation (Turbines, Boilers)</v>
      </c>
    </row>
    <row r="627" spans="1:15" ht="15.75" customHeight="1" x14ac:dyDescent="0.25">
      <c r="A627" s="1" t="s">
        <v>1741</v>
      </c>
      <c r="B627" s="1" t="s">
        <v>16</v>
      </c>
      <c r="C627" s="1" t="s">
        <v>16</v>
      </c>
      <c r="D627" s="2" t="s">
        <v>16</v>
      </c>
      <c r="E627" s="1" t="s">
        <v>40</v>
      </c>
      <c r="F627" s="1" t="s">
        <v>20</v>
      </c>
      <c r="G627" s="1" t="s">
        <v>21</v>
      </c>
      <c r="H627" s="1" t="s">
        <v>1742</v>
      </c>
      <c r="I627" s="1" t="s">
        <v>16</v>
      </c>
      <c r="J627" s="1" t="s">
        <v>16</v>
      </c>
      <c r="K627" s="4" t="s">
        <v>16</v>
      </c>
      <c r="L627" s="1" t="s">
        <v>71</v>
      </c>
      <c r="M627" s="1" t="s">
        <v>16</v>
      </c>
      <c r="N627" s="7" t="s">
        <v>16</v>
      </c>
      <c r="O627" s="6" t="str">
        <f>IFERROR(VLOOKUP(K627,'2. Buzzi Admin Only'!Q:R,2,0),"")</f>
        <v/>
      </c>
    </row>
    <row r="628" spans="1:15" ht="15.75" customHeight="1" x14ac:dyDescent="0.25">
      <c r="A628" s="1" t="s">
        <v>1743</v>
      </c>
      <c r="B628" s="1" t="s">
        <v>38</v>
      </c>
      <c r="C628" s="1" t="s">
        <v>60</v>
      </c>
      <c r="D628" s="2" t="s">
        <v>810</v>
      </c>
      <c r="E628" s="1" t="s">
        <v>40</v>
      </c>
      <c r="F628" s="1" t="s">
        <v>20</v>
      </c>
      <c r="G628" s="1" t="s">
        <v>21</v>
      </c>
      <c r="H628" s="1" t="s">
        <v>16</v>
      </c>
      <c r="I628" s="1" t="s">
        <v>16</v>
      </c>
      <c r="J628" s="1" t="s">
        <v>16</v>
      </c>
      <c r="K628" s="4" t="s">
        <v>16</v>
      </c>
      <c r="L628" s="1" t="s">
        <v>23</v>
      </c>
      <c r="M628" s="1" t="s">
        <v>58</v>
      </c>
      <c r="N628" s="7" t="s">
        <v>16</v>
      </c>
      <c r="O628" s="6" t="str">
        <f>IFERROR(VLOOKUP(K628,'2. Buzzi Admin Only'!Q:R,2,0),"")</f>
        <v/>
      </c>
    </row>
    <row r="629" spans="1:15" ht="15.75" customHeight="1" x14ac:dyDescent="0.25">
      <c r="A629" s="1" t="s">
        <v>1744</v>
      </c>
      <c r="B629" s="1" t="s">
        <v>138</v>
      </c>
      <c r="C629" s="1" t="s">
        <v>16</v>
      </c>
      <c r="D629" s="2" t="s">
        <v>1097</v>
      </c>
      <c r="E629" s="1" t="s">
        <v>1745</v>
      </c>
      <c r="F629" s="1" t="s">
        <v>20</v>
      </c>
      <c r="G629" s="1" t="s">
        <v>21</v>
      </c>
      <c r="H629" s="1" t="s">
        <v>1746</v>
      </c>
      <c r="I629" s="1" t="s">
        <v>16</v>
      </c>
      <c r="J629" s="1" t="s">
        <v>57</v>
      </c>
      <c r="K629" s="4" t="s">
        <v>16</v>
      </c>
      <c r="L629" s="1" t="s">
        <v>23</v>
      </c>
      <c r="M629" s="1" t="s">
        <v>30</v>
      </c>
      <c r="N629" s="7" t="s">
        <v>16</v>
      </c>
      <c r="O629" s="6" t="str">
        <f>IFERROR(VLOOKUP(K629,'2. Buzzi Admin Only'!Q:R,2,0),"")</f>
        <v/>
      </c>
    </row>
    <row r="630" spans="1:15" ht="15.75" customHeight="1" x14ac:dyDescent="0.25">
      <c r="A630" s="1" t="s">
        <v>1747</v>
      </c>
      <c r="B630" s="1" t="s">
        <v>38</v>
      </c>
      <c r="C630" s="1" t="s">
        <v>16</v>
      </c>
      <c r="D630" s="2" t="s">
        <v>1748</v>
      </c>
      <c r="E630" s="1" t="s">
        <v>1749</v>
      </c>
      <c r="F630" s="1" t="s">
        <v>20</v>
      </c>
      <c r="G630" s="1" t="s">
        <v>21</v>
      </c>
      <c r="H630" s="1" t="s">
        <v>1750</v>
      </c>
      <c r="I630" s="1" t="s">
        <v>16</v>
      </c>
      <c r="J630" s="1" t="s">
        <v>16</v>
      </c>
      <c r="K630" s="4" t="s">
        <v>16</v>
      </c>
      <c r="L630" s="1" t="s">
        <v>23</v>
      </c>
      <c r="M630" s="1" t="s">
        <v>58</v>
      </c>
      <c r="N630" s="7" t="s">
        <v>16</v>
      </c>
      <c r="O630" s="6" t="str">
        <f>IFERROR(VLOOKUP(K630,'2. Buzzi Admin Only'!Q:R,2,0),"")</f>
        <v/>
      </c>
    </row>
    <row r="631" spans="1:15" ht="15.75" customHeight="1" x14ac:dyDescent="0.25">
      <c r="A631" s="1" t="s">
        <v>1751</v>
      </c>
      <c r="B631" s="1" t="s">
        <v>16</v>
      </c>
      <c r="C631" s="1" t="s">
        <v>402</v>
      </c>
      <c r="D631" s="2" t="s">
        <v>1752</v>
      </c>
      <c r="E631" s="1" t="s">
        <v>1753</v>
      </c>
      <c r="F631" s="1" t="s">
        <v>20</v>
      </c>
      <c r="G631" s="1" t="s">
        <v>44</v>
      </c>
      <c r="H631" s="1" t="s">
        <v>1754</v>
      </c>
      <c r="I631" s="1" t="s">
        <v>16</v>
      </c>
      <c r="J631" s="1" t="s">
        <v>16</v>
      </c>
      <c r="K631" s="4" t="s">
        <v>16</v>
      </c>
      <c r="L631" s="1" t="s">
        <v>23</v>
      </c>
      <c r="M631" s="1" t="s">
        <v>52</v>
      </c>
      <c r="N631" s="7" t="s">
        <v>16</v>
      </c>
      <c r="O631" s="6" t="str">
        <f>IFERROR(VLOOKUP(K631,'2. Buzzi Admin Only'!Q:R,2,0),"")</f>
        <v/>
      </c>
    </row>
    <row r="632" spans="1:15" ht="15.75" customHeight="1" x14ac:dyDescent="0.25">
      <c r="A632" s="1" t="s">
        <v>1755</v>
      </c>
      <c r="B632" s="1" t="s">
        <v>16</v>
      </c>
      <c r="C632" s="1" t="s">
        <v>16</v>
      </c>
      <c r="D632" s="2" t="s">
        <v>16</v>
      </c>
      <c r="E632" s="1" t="s">
        <v>40</v>
      </c>
      <c r="F632" s="1" t="s">
        <v>20</v>
      </c>
      <c r="G632" s="1" t="s">
        <v>21</v>
      </c>
      <c r="H632" s="1" t="s">
        <v>16</v>
      </c>
      <c r="I632" s="1" t="s">
        <v>16</v>
      </c>
      <c r="J632" s="1" t="s">
        <v>16</v>
      </c>
      <c r="K632" s="4" t="s">
        <v>16</v>
      </c>
      <c r="L632" s="1" t="s">
        <v>23</v>
      </c>
      <c r="M632" s="1" t="s">
        <v>16</v>
      </c>
      <c r="N632" s="7" t="s">
        <v>16</v>
      </c>
      <c r="O632" s="6" t="str">
        <f>IFERROR(VLOOKUP(K632,'2. Buzzi Admin Only'!Q:R,2,0),"")</f>
        <v/>
      </c>
    </row>
    <row r="633" spans="1:15" ht="15.75" customHeight="1" x14ac:dyDescent="0.25">
      <c r="A633" s="1" t="s">
        <v>1756</v>
      </c>
      <c r="B633" s="1" t="s">
        <v>158</v>
      </c>
      <c r="C633" s="1" t="s">
        <v>16</v>
      </c>
      <c r="D633" s="2" t="s">
        <v>1330</v>
      </c>
      <c r="E633" s="1" t="s">
        <v>1248</v>
      </c>
      <c r="F633" s="1" t="s">
        <v>20</v>
      </c>
      <c r="G633" s="1" t="s">
        <v>21</v>
      </c>
      <c r="H633" s="1" t="s">
        <v>16</v>
      </c>
      <c r="I633" s="1" t="s">
        <v>16</v>
      </c>
      <c r="J633" s="1" t="s">
        <v>57</v>
      </c>
      <c r="K633" s="4" t="s">
        <v>16</v>
      </c>
      <c r="L633" s="1" t="s">
        <v>23</v>
      </c>
      <c r="M633" s="1" t="s">
        <v>1757</v>
      </c>
      <c r="N633" s="7" t="s">
        <v>16</v>
      </c>
      <c r="O633" s="6" t="str">
        <f>IFERROR(VLOOKUP(K633,'2. Buzzi Admin Only'!Q:R,2,0),"")</f>
        <v/>
      </c>
    </row>
    <row r="634" spans="1:15" ht="15.75" customHeight="1" x14ac:dyDescent="0.25">
      <c r="A634" s="1" t="s">
        <v>1758</v>
      </c>
      <c r="B634" s="1" t="s">
        <v>138</v>
      </c>
      <c r="C634" s="1" t="s">
        <v>16</v>
      </c>
      <c r="D634" s="2" t="s">
        <v>1389</v>
      </c>
      <c r="E634" s="1" t="s">
        <v>1478</v>
      </c>
      <c r="F634" s="1" t="s">
        <v>20</v>
      </c>
      <c r="G634" s="1" t="s">
        <v>21</v>
      </c>
      <c r="H634" s="1" t="s">
        <v>16</v>
      </c>
      <c r="I634" s="1" t="s">
        <v>16</v>
      </c>
      <c r="J634" s="1" t="s">
        <v>16</v>
      </c>
      <c r="K634" s="4" t="s">
        <v>16</v>
      </c>
      <c r="L634" s="1" t="s">
        <v>23</v>
      </c>
      <c r="M634" s="1" t="s">
        <v>58</v>
      </c>
      <c r="N634" s="7" t="s">
        <v>16</v>
      </c>
      <c r="O634" s="6" t="str">
        <f>IFERROR(VLOOKUP(K634,'2. Buzzi Admin Only'!Q:R,2,0),"")</f>
        <v/>
      </c>
    </row>
    <row r="635" spans="1:15" ht="15.75" customHeight="1" x14ac:dyDescent="0.25">
      <c r="A635" s="1" t="s">
        <v>1759</v>
      </c>
      <c r="B635" s="1" t="s">
        <v>38</v>
      </c>
      <c r="C635" s="1" t="s">
        <v>16</v>
      </c>
      <c r="D635" s="2" t="s">
        <v>348</v>
      </c>
      <c r="E635" s="1" t="s">
        <v>1248</v>
      </c>
      <c r="F635" s="1" t="s">
        <v>20</v>
      </c>
      <c r="G635" s="1" t="s">
        <v>21</v>
      </c>
      <c r="H635" s="1" t="s">
        <v>1760</v>
      </c>
      <c r="I635" s="1" t="s">
        <v>16</v>
      </c>
      <c r="J635" s="1" t="s">
        <v>16</v>
      </c>
      <c r="K635" s="4" t="s">
        <v>16</v>
      </c>
      <c r="L635" s="1" t="s">
        <v>23</v>
      </c>
      <c r="M635" s="1" t="s">
        <v>58</v>
      </c>
      <c r="N635" s="7" t="s">
        <v>16</v>
      </c>
      <c r="O635" s="6" t="str">
        <f>IFERROR(VLOOKUP(K635,'2. Buzzi Admin Only'!Q:R,2,0),"")</f>
        <v/>
      </c>
    </row>
    <row r="636" spans="1:15" ht="15.75" customHeight="1" x14ac:dyDescent="0.25">
      <c r="A636" s="1" t="s">
        <v>1761</v>
      </c>
      <c r="B636" s="1" t="s">
        <v>38</v>
      </c>
      <c r="C636" s="1" t="s">
        <v>765</v>
      </c>
      <c r="D636" s="2" t="s">
        <v>632</v>
      </c>
      <c r="E636" s="1" t="s">
        <v>1415</v>
      </c>
      <c r="F636" s="1" t="s">
        <v>20</v>
      </c>
      <c r="G636" s="1" t="s">
        <v>28</v>
      </c>
      <c r="H636" s="1" t="s">
        <v>1762</v>
      </c>
      <c r="I636" s="1" t="s">
        <v>16</v>
      </c>
      <c r="J636" s="1" t="s">
        <v>16</v>
      </c>
      <c r="K636" s="4" t="s">
        <v>16</v>
      </c>
      <c r="L636" s="1" t="s">
        <v>23</v>
      </c>
      <c r="M636" s="1" t="s">
        <v>58</v>
      </c>
      <c r="N636" s="7" t="s">
        <v>16</v>
      </c>
      <c r="O636" s="6" t="str">
        <f>IFERROR(VLOOKUP(K636,'2. Buzzi Admin Only'!Q:R,2,0),"")</f>
        <v/>
      </c>
    </row>
    <row r="637" spans="1:15" ht="15.75" customHeight="1" x14ac:dyDescent="0.25">
      <c r="A637" s="1" t="s">
        <v>1763</v>
      </c>
      <c r="B637" s="1" t="s">
        <v>138</v>
      </c>
      <c r="C637" s="1" t="s">
        <v>16</v>
      </c>
      <c r="D637" s="2" t="s">
        <v>1764</v>
      </c>
      <c r="E637" s="1" t="s">
        <v>1248</v>
      </c>
      <c r="F637" s="1" t="s">
        <v>20</v>
      </c>
      <c r="G637" s="1" t="s">
        <v>21</v>
      </c>
      <c r="H637" s="1" t="s">
        <v>1765</v>
      </c>
      <c r="I637" s="1" t="s">
        <v>16</v>
      </c>
      <c r="J637" s="1" t="s">
        <v>57</v>
      </c>
      <c r="K637" s="4" t="s">
        <v>16</v>
      </c>
      <c r="L637" s="1" t="s">
        <v>23</v>
      </c>
      <c r="M637" s="1" t="s">
        <v>58</v>
      </c>
      <c r="N637" s="7" t="s">
        <v>16</v>
      </c>
      <c r="O637" s="6" t="str">
        <f>IFERROR(VLOOKUP(K637,'2. Buzzi Admin Only'!Q:R,2,0),"")</f>
        <v/>
      </c>
    </row>
    <row r="638" spans="1:15" ht="15.75" customHeight="1" x14ac:dyDescent="0.25">
      <c r="A638" s="1" t="s">
        <v>1766</v>
      </c>
      <c r="B638" s="1" t="s">
        <v>138</v>
      </c>
      <c r="C638" s="1" t="s">
        <v>16</v>
      </c>
      <c r="D638" s="2" t="s">
        <v>535</v>
      </c>
      <c r="E638" s="1" t="s">
        <v>19</v>
      </c>
      <c r="F638" s="1" t="s">
        <v>20</v>
      </c>
      <c r="G638" s="1" t="s">
        <v>28</v>
      </c>
      <c r="H638" s="1" t="s">
        <v>1767</v>
      </c>
      <c r="I638" s="1" t="s">
        <v>16</v>
      </c>
      <c r="J638" s="1" t="s">
        <v>57</v>
      </c>
      <c r="K638" s="4" t="s">
        <v>16</v>
      </c>
      <c r="L638" s="1" t="s">
        <v>23</v>
      </c>
      <c r="M638" s="1" t="s">
        <v>58</v>
      </c>
      <c r="N638" s="7" t="s">
        <v>16</v>
      </c>
      <c r="O638" s="6" t="str">
        <f>IFERROR(VLOOKUP(K638,'2. Buzzi Admin Only'!Q:R,2,0),"")</f>
        <v/>
      </c>
    </row>
    <row r="639" spans="1:15" ht="15.75" customHeight="1" x14ac:dyDescent="0.25">
      <c r="A639" s="1" t="s">
        <v>1768</v>
      </c>
      <c r="B639" s="1" t="s">
        <v>16</v>
      </c>
      <c r="C639" s="1" t="s">
        <v>16</v>
      </c>
      <c r="D639" s="2" t="s">
        <v>16</v>
      </c>
      <c r="E639" s="1" t="s">
        <v>1769</v>
      </c>
      <c r="F639" s="1" t="s">
        <v>20</v>
      </c>
      <c r="G639" s="1" t="s">
        <v>28</v>
      </c>
      <c r="H639" s="1" t="s">
        <v>1770</v>
      </c>
      <c r="I639" s="1" t="s">
        <v>16</v>
      </c>
      <c r="J639" s="1" t="s">
        <v>16</v>
      </c>
      <c r="K639" s="4" t="s">
        <v>16</v>
      </c>
      <c r="L639" s="1" t="s">
        <v>23</v>
      </c>
      <c r="M639" s="1" t="s">
        <v>16</v>
      </c>
      <c r="N639" s="7" t="s">
        <v>16</v>
      </c>
      <c r="O639" s="6" t="str">
        <f>IFERROR(VLOOKUP(K639,'2. Buzzi Admin Only'!Q:R,2,0),"")</f>
        <v/>
      </c>
    </row>
    <row r="640" spans="1:15" ht="15.75" customHeight="1" x14ac:dyDescent="0.25">
      <c r="A640" s="1" t="s">
        <v>1771</v>
      </c>
      <c r="B640" s="1" t="s">
        <v>38</v>
      </c>
      <c r="C640" s="1" t="s">
        <v>16</v>
      </c>
      <c r="D640" s="2" t="s">
        <v>1772</v>
      </c>
      <c r="E640" s="1" t="s">
        <v>1035</v>
      </c>
      <c r="F640" s="1" t="s">
        <v>20</v>
      </c>
      <c r="G640" s="1" t="s">
        <v>21</v>
      </c>
      <c r="H640" s="1" t="s">
        <v>1773</v>
      </c>
      <c r="I640" s="1" t="s">
        <v>16</v>
      </c>
      <c r="J640" s="1" t="s">
        <v>16</v>
      </c>
      <c r="K640" s="4" t="s">
        <v>16</v>
      </c>
      <c r="L640" s="1" t="s">
        <v>23</v>
      </c>
      <c r="M640" s="1" t="s">
        <v>858</v>
      </c>
      <c r="N640" s="7" t="s">
        <v>16</v>
      </c>
      <c r="O640" s="6" t="str">
        <f>IFERROR(VLOOKUP(K640,'2. Buzzi Admin Only'!Q:R,2,0),"")</f>
        <v/>
      </c>
    </row>
    <row r="641" spans="1:15" ht="15.75" customHeight="1" x14ac:dyDescent="0.25">
      <c r="A641" s="1" t="s">
        <v>1774</v>
      </c>
      <c r="B641" s="1" t="s">
        <v>16</v>
      </c>
      <c r="C641" s="1" t="s">
        <v>1031</v>
      </c>
      <c r="D641" s="2" t="s">
        <v>348</v>
      </c>
      <c r="E641" s="1" t="s">
        <v>19</v>
      </c>
      <c r="F641" s="1" t="s">
        <v>20</v>
      </c>
      <c r="G641" s="1" t="s">
        <v>28</v>
      </c>
      <c r="H641" s="1" t="s">
        <v>16</v>
      </c>
      <c r="I641" s="1" t="s">
        <v>16</v>
      </c>
      <c r="J641" s="1" t="s">
        <v>16</v>
      </c>
      <c r="K641" s="4" t="s">
        <v>16</v>
      </c>
      <c r="L641" s="1" t="s">
        <v>23</v>
      </c>
      <c r="M641" s="1" t="s">
        <v>58</v>
      </c>
      <c r="N641" s="7" t="s">
        <v>16</v>
      </c>
      <c r="O641" s="6" t="str">
        <f>IFERROR(VLOOKUP(K641,'2. Buzzi Admin Only'!Q:R,2,0),"")</f>
        <v/>
      </c>
    </row>
    <row r="642" spans="1:15" ht="15.75" customHeight="1" x14ac:dyDescent="0.25">
      <c r="A642" s="1" t="s">
        <v>1775</v>
      </c>
      <c r="B642" s="1" t="s">
        <v>16</v>
      </c>
      <c r="C642" s="1" t="s">
        <v>16</v>
      </c>
      <c r="D642" s="2" t="s">
        <v>16</v>
      </c>
      <c r="E642" s="1" t="s">
        <v>40</v>
      </c>
      <c r="F642" s="1" t="s">
        <v>16</v>
      </c>
      <c r="G642" s="1" t="s">
        <v>16</v>
      </c>
      <c r="H642" s="1" t="s">
        <v>16</v>
      </c>
      <c r="I642" s="1" t="s">
        <v>16</v>
      </c>
      <c r="J642" s="1" t="s">
        <v>16</v>
      </c>
      <c r="K642" s="4" t="s">
        <v>16</v>
      </c>
      <c r="L642" s="1" t="s">
        <v>71</v>
      </c>
      <c r="M642" s="1" t="s">
        <v>16</v>
      </c>
      <c r="N642" s="7" t="s">
        <v>16</v>
      </c>
      <c r="O642" s="6" t="str">
        <f>IFERROR(VLOOKUP(K642,'2. Buzzi Admin Only'!Q:R,2,0),"")</f>
        <v/>
      </c>
    </row>
    <row r="643" spans="1:15" ht="15.75" customHeight="1" x14ac:dyDescent="0.25">
      <c r="A643" s="1" t="s">
        <v>1776</v>
      </c>
      <c r="B643" s="1" t="s">
        <v>138</v>
      </c>
      <c r="C643" s="1" t="s">
        <v>16</v>
      </c>
      <c r="D643" s="2" t="s">
        <v>1777</v>
      </c>
      <c r="E643" s="1" t="s">
        <v>19</v>
      </c>
      <c r="F643" s="1" t="s">
        <v>20</v>
      </c>
      <c r="G643" s="1" t="s">
        <v>28</v>
      </c>
      <c r="H643" s="1" t="s">
        <v>1778</v>
      </c>
      <c r="I643" s="1" t="s">
        <v>16</v>
      </c>
      <c r="J643" s="1" t="s">
        <v>16</v>
      </c>
      <c r="K643" s="4" t="s">
        <v>16</v>
      </c>
      <c r="L643" s="1" t="s">
        <v>23</v>
      </c>
      <c r="M643" s="1" t="s">
        <v>42</v>
      </c>
      <c r="N643" s="7" t="s">
        <v>16</v>
      </c>
      <c r="O643" s="6" t="str">
        <f>IFERROR(VLOOKUP(K643,'2. Buzzi Admin Only'!Q:R,2,0),"")</f>
        <v/>
      </c>
    </row>
    <row r="644" spans="1:15" ht="15.75" customHeight="1" x14ac:dyDescent="0.25">
      <c r="A644" s="1" t="s">
        <v>1779</v>
      </c>
      <c r="B644" s="1" t="s">
        <v>38</v>
      </c>
      <c r="C644" s="1" t="s">
        <v>60</v>
      </c>
      <c r="D644" s="2" t="s">
        <v>1780</v>
      </c>
      <c r="E644" s="1" t="s">
        <v>1781</v>
      </c>
      <c r="F644" s="1" t="s">
        <v>20</v>
      </c>
      <c r="G644" s="1" t="s">
        <v>28</v>
      </c>
      <c r="H644" s="1" t="s">
        <v>1782</v>
      </c>
      <c r="I644" s="1" t="s">
        <v>16</v>
      </c>
      <c r="J644" s="1" t="s">
        <v>16</v>
      </c>
      <c r="K644" s="4" t="s">
        <v>16</v>
      </c>
      <c r="L644" s="1" t="s">
        <v>23</v>
      </c>
      <c r="M644" s="1" t="s">
        <v>858</v>
      </c>
      <c r="N644" s="7" t="s">
        <v>16</v>
      </c>
      <c r="O644" s="6" t="str">
        <f>IFERROR(VLOOKUP(K644,'2. Buzzi Admin Only'!Q:R,2,0),"")</f>
        <v/>
      </c>
    </row>
    <row r="645" spans="1:15" ht="15.75" customHeight="1" x14ac:dyDescent="0.25">
      <c r="A645" s="1" t="s">
        <v>1783</v>
      </c>
      <c r="B645" s="1" t="s">
        <v>38</v>
      </c>
      <c r="C645" s="1" t="s">
        <v>16</v>
      </c>
      <c r="D645" s="2" t="s">
        <v>1619</v>
      </c>
      <c r="E645" s="1" t="s">
        <v>40</v>
      </c>
      <c r="F645" s="1" t="s">
        <v>20</v>
      </c>
      <c r="G645" s="1" t="s">
        <v>28</v>
      </c>
      <c r="H645" s="1" t="s">
        <v>1784</v>
      </c>
      <c r="I645" s="1" t="s">
        <v>16</v>
      </c>
      <c r="J645" s="1" t="s">
        <v>16</v>
      </c>
      <c r="K645" s="4" t="s">
        <v>16</v>
      </c>
      <c r="L645" s="1" t="s">
        <v>23</v>
      </c>
      <c r="M645" s="1" t="s">
        <v>58</v>
      </c>
      <c r="N645" s="7" t="s">
        <v>16</v>
      </c>
      <c r="O645" s="6" t="str">
        <f>IFERROR(VLOOKUP(K645,'2. Buzzi Admin Only'!Q:R,2,0),"")</f>
        <v/>
      </c>
    </row>
    <row r="646" spans="1:15" ht="15.75" customHeight="1" x14ac:dyDescent="0.25">
      <c r="A646" s="1" t="s">
        <v>1785</v>
      </c>
      <c r="B646" s="1" t="s">
        <v>138</v>
      </c>
      <c r="C646" s="1" t="s">
        <v>16</v>
      </c>
      <c r="D646" s="2" t="s">
        <v>1748</v>
      </c>
      <c r="E646" s="1" t="s">
        <v>1786</v>
      </c>
      <c r="F646" s="1" t="s">
        <v>20</v>
      </c>
      <c r="G646" s="1" t="s">
        <v>44</v>
      </c>
      <c r="H646" s="1" t="s">
        <v>1787</v>
      </c>
      <c r="I646" s="1" t="s">
        <v>16</v>
      </c>
      <c r="J646" s="1" t="s">
        <v>57</v>
      </c>
      <c r="K646" s="4" t="s">
        <v>16</v>
      </c>
      <c r="L646" s="1" t="s">
        <v>23</v>
      </c>
      <c r="M646" s="1" t="s">
        <v>786</v>
      </c>
      <c r="N646" s="7" t="s">
        <v>16</v>
      </c>
      <c r="O646" s="6" t="str">
        <f>IFERROR(VLOOKUP(K646,'2. Buzzi Admin Only'!Q:R,2,0),"")</f>
        <v/>
      </c>
    </row>
    <row r="647" spans="1:15" ht="15.75" customHeight="1" x14ac:dyDescent="0.25">
      <c r="A647" s="1" t="s">
        <v>1788</v>
      </c>
      <c r="B647" s="1" t="s">
        <v>16</v>
      </c>
      <c r="C647" s="1" t="s">
        <v>16</v>
      </c>
      <c r="D647" s="2" t="s">
        <v>959</v>
      </c>
      <c r="E647" s="1" t="s">
        <v>1789</v>
      </c>
      <c r="F647" s="1" t="s">
        <v>20</v>
      </c>
      <c r="G647" s="1" t="s">
        <v>28</v>
      </c>
      <c r="H647" s="1" t="s">
        <v>16</v>
      </c>
      <c r="I647" s="1" t="s">
        <v>16</v>
      </c>
      <c r="J647" s="1" t="s">
        <v>16</v>
      </c>
      <c r="K647" s="4" t="s">
        <v>16</v>
      </c>
      <c r="L647" s="1" t="s">
        <v>23</v>
      </c>
      <c r="M647" s="1" t="s">
        <v>1790</v>
      </c>
      <c r="N647" s="7" t="s">
        <v>16</v>
      </c>
      <c r="O647" s="6" t="str">
        <f>IFERROR(VLOOKUP(K647,'2. Buzzi Admin Only'!Q:R,2,0),"")</f>
        <v/>
      </c>
    </row>
    <row r="648" spans="1:15" ht="15.75" customHeight="1" x14ac:dyDescent="0.25">
      <c r="A648" s="1" t="s">
        <v>1791</v>
      </c>
      <c r="B648" s="1" t="s">
        <v>158</v>
      </c>
      <c r="C648" s="1" t="s">
        <v>16</v>
      </c>
      <c r="D648" s="2" t="s">
        <v>1792</v>
      </c>
      <c r="E648" s="1" t="s">
        <v>1286</v>
      </c>
      <c r="F648" s="1" t="s">
        <v>20</v>
      </c>
      <c r="G648" s="1" t="s">
        <v>21</v>
      </c>
      <c r="H648" s="1" t="s">
        <v>16</v>
      </c>
      <c r="I648" s="1" t="s">
        <v>16</v>
      </c>
      <c r="J648" s="1" t="s">
        <v>16</v>
      </c>
      <c r="K648" s="4" t="s">
        <v>16</v>
      </c>
      <c r="L648" s="1" t="s">
        <v>23</v>
      </c>
      <c r="M648" s="1" t="s">
        <v>16</v>
      </c>
      <c r="N648" s="7" t="s">
        <v>16</v>
      </c>
      <c r="O648" s="6" t="str">
        <f>IFERROR(VLOOKUP(K648,'2. Buzzi Admin Only'!Q:R,2,0),"")</f>
        <v/>
      </c>
    </row>
    <row r="649" spans="1:15" ht="15.75" customHeight="1" x14ac:dyDescent="0.25">
      <c r="A649" s="1" t="s">
        <v>1793</v>
      </c>
      <c r="B649" s="1" t="s">
        <v>38</v>
      </c>
      <c r="C649" s="1" t="s">
        <v>16</v>
      </c>
      <c r="D649" s="2" t="s">
        <v>773</v>
      </c>
      <c r="E649" s="1" t="s">
        <v>40</v>
      </c>
      <c r="F649" s="1" t="s">
        <v>20</v>
      </c>
      <c r="G649" s="1" t="s">
        <v>21</v>
      </c>
      <c r="H649" s="1" t="s">
        <v>1794</v>
      </c>
      <c r="I649" s="1" t="s">
        <v>16</v>
      </c>
      <c r="J649" s="1" t="s">
        <v>16</v>
      </c>
      <c r="K649" s="4" t="s">
        <v>16</v>
      </c>
      <c r="L649" s="1" t="s">
        <v>23</v>
      </c>
      <c r="M649" s="1" t="s">
        <v>58</v>
      </c>
      <c r="N649" s="7" t="s">
        <v>16</v>
      </c>
      <c r="O649" s="6" t="str">
        <f>IFERROR(VLOOKUP(K649,'2. Buzzi Admin Only'!Q:R,2,0),"")</f>
        <v/>
      </c>
    </row>
    <row r="650" spans="1:15" ht="15.75" customHeight="1" x14ac:dyDescent="0.25">
      <c r="A650" s="1" t="s">
        <v>1795</v>
      </c>
      <c r="B650" s="1" t="s">
        <v>138</v>
      </c>
      <c r="C650" s="1" t="s">
        <v>16</v>
      </c>
      <c r="D650" s="2" t="s">
        <v>1445</v>
      </c>
      <c r="E650" s="1" t="s">
        <v>40</v>
      </c>
      <c r="F650" s="1" t="s">
        <v>20</v>
      </c>
      <c r="G650" s="1" t="s">
        <v>44</v>
      </c>
      <c r="H650" s="1" t="s">
        <v>16</v>
      </c>
      <c r="I650" s="1" t="s">
        <v>16</v>
      </c>
      <c r="J650" s="1" t="s">
        <v>16</v>
      </c>
      <c r="K650" s="4" t="s">
        <v>16</v>
      </c>
      <c r="L650" s="1" t="s">
        <v>23</v>
      </c>
      <c r="M650" s="1" t="s">
        <v>1796</v>
      </c>
      <c r="N650" s="7" t="s">
        <v>16</v>
      </c>
      <c r="O650" s="6" t="str">
        <f>IFERROR(VLOOKUP(K650,'2. Buzzi Admin Only'!Q:R,2,0),"")</f>
        <v/>
      </c>
    </row>
    <row r="651" spans="1:15" ht="15.75" customHeight="1" x14ac:dyDescent="0.25">
      <c r="A651" s="1" t="s">
        <v>1797</v>
      </c>
      <c r="B651" s="1" t="s">
        <v>16</v>
      </c>
      <c r="C651" s="1" t="s">
        <v>16</v>
      </c>
      <c r="D651" s="2" t="s">
        <v>16</v>
      </c>
      <c r="E651" s="1" t="s">
        <v>40</v>
      </c>
      <c r="F651" s="1" t="s">
        <v>20</v>
      </c>
      <c r="G651" s="1" t="s">
        <v>21</v>
      </c>
      <c r="H651" s="1" t="s">
        <v>16</v>
      </c>
      <c r="I651" s="1" t="s">
        <v>16</v>
      </c>
      <c r="J651" s="1" t="s">
        <v>16</v>
      </c>
      <c r="K651" s="4" t="s">
        <v>16</v>
      </c>
      <c r="L651" s="1" t="s">
        <v>71</v>
      </c>
      <c r="M651" s="1" t="s">
        <v>16</v>
      </c>
      <c r="N651" s="7" t="s">
        <v>16</v>
      </c>
      <c r="O651" s="6" t="str">
        <f>IFERROR(VLOOKUP(K651,'2. Buzzi Admin Only'!Q:R,2,0),"")</f>
        <v/>
      </c>
    </row>
    <row r="652" spans="1:15" ht="15.75" customHeight="1" x14ac:dyDescent="0.25">
      <c r="A652" s="1" t="s">
        <v>1798</v>
      </c>
      <c r="B652" s="1" t="s">
        <v>16</v>
      </c>
      <c r="C652" s="1" t="s">
        <v>16</v>
      </c>
      <c r="D652" s="2" t="s">
        <v>16</v>
      </c>
      <c r="E652" s="1" t="s">
        <v>1799</v>
      </c>
      <c r="F652" s="1" t="s">
        <v>20</v>
      </c>
      <c r="G652" s="1" t="s">
        <v>28</v>
      </c>
      <c r="H652" s="1" t="s">
        <v>16</v>
      </c>
      <c r="I652" s="1" t="s">
        <v>16</v>
      </c>
      <c r="J652" s="1" t="s">
        <v>16</v>
      </c>
      <c r="K652" s="4" t="s">
        <v>16</v>
      </c>
      <c r="L652" s="1" t="s">
        <v>23</v>
      </c>
      <c r="M652" s="1" t="s">
        <v>16</v>
      </c>
      <c r="N652" s="7" t="s">
        <v>16</v>
      </c>
      <c r="O652" s="6" t="str">
        <f>IFERROR(VLOOKUP(K652,'2. Buzzi Admin Only'!Q:R,2,0),"")</f>
        <v/>
      </c>
    </row>
    <row r="653" spans="1:15" ht="15.75" customHeight="1" x14ac:dyDescent="0.25">
      <c r="A653" s="1" t="s">
        <v>1800</v>
      </c>
      <c r="B653" s="1" t="s">
        <v>16</v>
      </c>
      <c r="C653" s="1" t="s">
        <v>16</v>
      </c>
      <c r="D653" s="2" t="s">
        <v>16</v>
      </c>
      <c r="E653" s="1" t="s">
        <v>40</v>
      </c>
      <c r="F653" s="1" t="s">
        <v>20</v>
      </c>
      <c r="G653" s="1" t="s">
        <v>21</v>
      </c>
      <c r="H653" s="1" t="s">
        <v>16</v>
      </c>
      <c r="I653" s="1" t="s">
        <v>16</v>
      </c>
      <c r="J653" s="1" t="s">
        <v>16</v>
      </c>
      <c r="K653" s="4" t="s">
        <v>16</v>
      </c>
      <c r="L653" s="1" t="s">
        <v>71</v>
      </c>
      <c r="M653" s="1" t="s">
        <v>16</v>
      </c>
      <c r="N653" s="7" t="s">
        <v>16</v>
      </c>
      <c r="O653" s="6" t="str">
        <f>IFERROR(VLOOKUP(K653,'2. Buzzi Admin Only'!Q:R,2,0),"")</f>
        <v/>
      </c>
    </row>
    <row r="654" spans="1:15" ht="15.75" customHeight="1" x14ac:dyDescent="0.25">
      <c r="A654" s="1" t="s">
        <v>1801</v>
      </c>
      <c r="B654" s="1" t="s">
        <v>16</v>
      </c>
      <c r="C654" s="1" t="s">
        <v>16</v>
      </c>
      <c r="D654" s="2" t="s">
        <v>1802</v>
      </c>
      <c r="E654" s="1" t="s">
        <v>1803</v>
      </c>
      <c r="F654" s="1" t="s">
        <v>20</v>
      </c>
      <c r="G654" s="1" t="s">
        <v>21</v>
      </c>
      <c r="H654" s="1" t="s">
        <v>1804</v>
      </c>
      <c r="I654" s="1" t="s">
        <v>16</v>
      </c>
      <c r="J654" s="1" t="s">
        <v>16</v>
      </c>
      <c r="K654" s="4" t="s">
        <v>16</v>
      </c>
      <c r="L654" s="1" t="s">
        <v>23</v>
      </c>
      <c r="M654" s="1" t="s">
        <v>58</v>
      </c>
      <c r="N654" s="7" t="s">
        <v>16</v>
      </c>
      <c r="O654" s="6" t="str">
        <f>IFERROR(VLOOKUP(K654,'2. Buzzi Admin Only'!Q:R,2,0),"")</f>
        <v/>
      </c>
    </row>
    <row r="655" spans="1:15" ht="15.75" customHeight="1" x14ac:dyDescent="0.25">
      <c r="A655" s="1" t="s">
        <v>1805</v>
      </c>
      <c r="B655" s="1" t="s">
        <v>16</v>
      </c>
      <c r="C655" s="1" t="s">
        <v>16</v>
      </c>
      <c r="D655" s="2" t="s">
        <v>16</v>
      </c>
      <c r="E655" s="1" t="s">
        <v>40</v>
      </c>
      <c r="F655" s="1" t="s">
        <v>20</v>
      </c>
      <c r="G655" s="1" t="s">
        <v>70</v>
      </c>
      <c r="H655" s="1" t="s">
        <v>16</v>
      </c>
      <c r="I655" s="1" t="s">
        <v>16</v>
      </c>
      <c r="J655" s="1" t="s">
        <v>16</v>
      </c>
      <c r="K655" s="4" t="s">
        <v>16</v>
      </c>
      <c r="L655" s="1" t="s">
        <v>23</v>
      </c>
      <c r="M655" s="1" t="s">
        <v>16</v>
      </c>
      <c r="N655" s="7" t="s">
        <v>16</v>
      </c>
      <c r="O655" s="6" t="str">
        <f>IFERROR(VLOOKUP(K655,'2. Buzzi Admin Only'!Q:R,2,0),"")</f>
        <v/>
      </c>
    </row>
    <row r="656" spans="1:15" ht="15.75" customHeight="1" x14ac:dyDescent="0.25">
      <c r="A656" s="1" t="s">
        <v>1806</v>
      </c>
      <c r="B656" s="1" t="s">
        <v>138</v>
      </c>
      <c r="C656" s="1" t="s">
        <v>1807</v>
      </c>
      <c r="D656" s="2" t="s">
        <v>1808</v>
      </c>
      <c r="E656" s="1" t="s">
        <v>1248</v>
      </c>
      <c r="F656" s="1" t="s">
        <v>20</v>
      </c>
      <c r="G656" s="1" t="s">
        <v>21</v>
      </c>
      <c r="H656" s="1" t="s">
        <v>1809</v>
      </c>
      <c r="I656" s="1" t="s">
        <v>16</v>
      </c>
      <c r="J656" s="1" t="s">
        <v>57</v>
      </c>
      <c r="K656" s="4" t="s">
        <v>16</v>
      </c>
      <c r="L656" s="1" t="s">
        <v>23</v>
      </c>
      <c r="M656" s="1" t="s">
        <v>58</v>
      </c>
      <c r="N656" s="7" t="s">
        <v>16</v>
      </c>
      <c r="O656" s="6" t="str">
        <f>IFERROR(VLOOKUP(K656,'2. Buzzi Admin Only'!Q:R,2,0),"")</f>
        <v/>
      </c>
    </row>
    <row r="657" spans="1:15" ht="15.75" customHeight="1" x14ac:dyDescent="0.25">
      <c r="A657" s="1" t="s">
        <v>1810</v>
      </c>
      <c r="B657" s="1" t="s">
        <v>38</v>
      </c>
      <c r="C657" s="1" t="s">
        <v>60</v>
      </c>
      <c r="D657" s="2" t="s">
        <v>1453</v>
      </c>
      <c r="E657" s="1" t="s">
        <v>1811</v>
      </c>
      <c r="F657" s="1" t="s">
        <v>20</v>
      </c>
      <c r="G657" s="1" t="s">
        <v>21</v>
      </c>
      <c r="H657" s="1" t="s">
        <v>1812</v>
      </c>
      <c r="I657" s="1" t="s">
        <v>16</v>
      </c>
      <c r="J657" s="1" t="s">
        <v>16</v>
      </c>
      <c r="K657" s="4" t="s">
        <v>16</v>
      </c>
      <c r="L657" s="1" t="s">
        <v>23</v>
      </c>
      <c r="M657" s="1" t="s">
        <v>58</v>
      </c>
      <c r="N657" s="7" t="s">
        <v>16</v>
      </c>
      <c r="O657" s="6" t="str">
        <f>IFERROR(VLOOKUP(K657,'2. Buzzi Admin Only'!Q:R,2,0),"")</f>
        <v/>
      </c>
    </row>
    <row r="658" spans="1:15" ht="15.75" customHeight="1" x14ac:dyDescent="0.25">
      <c r="A658" s="1" t="s">
        <v>1813</v>
      </c>
      <c r="B658" s="1" t="s">
        <v>16</v>
      </c>
      <c r="C658" s="1" t="s">
        <v>60</v>
      </c>
      <c r="D658" s="2" t="s">
        <v>1814</v>
      </c>
      <c r="E658" s="1" t="s">
        <v>40</v>
      </c>
      <c r="F658" s="1" t="s">
        <v>20</v>
      </c>
      <c r="G658" s="1" t="s">
        <v>21</v>
      </c>
      <c r="H658" s="1" t="s">
        <v>1815</v>
      </c>
      <c r="I658" s="1" t="s">
        <v>16</v>
      </c>
      <c r="J658" s="1" t="s">
        <v>16</v>
      </c>
      <c r="K658" s="4" t="s">
        <v>16</v>
      </c>
      <c r="L658" s="1" t="s">
        <v>23</v>
      </c>
      <c r="M658" s="1" t="s">
        <v>52</v>
      </c>
      <c r="N658" s="7" t="s">
        <v>16</v>
      </c>
      <c r="O658" s="6" t="str">
        <f>IFERROR(VLOOKUP(K658,'2. Buzzi Admin Only'!Q:R,2,0),"")</f>
        <v/>
      </c>
    </row>
    <row r="659" spans="1:15" ht="15.75" customHeight="1" x14ac:dyDescent="0.25">
      <c r="A659" s="1" t="s">
        <v>1816</v>
      </c>
      <c r="B659" s="1" t="s">
        <v>138</v>
      </c>
      <c r="C659" s="1" t="s">
        <v>16</v>
      </c>
      <c r="D659" s="2" t="s">
        <v>1817</v>
      </c>
      <c r="E659" s="1" t="s">
        <v>16</v>
      </c>
      <c r="F659" s="1" t="s">
        <v>20</v>
      </c>
      <c r="G659" s="1" t="s">
        <v>21</v>
      </c>
      <c r="H659" s="1" t="s">
        <v>16</v>
      </c>
      <c r="I659" s="1" t="s">
        <v>16</v>
      </c>
      <c r="J659" s="1" t="s">
        <v>16</v>
      </c>
      <c r="K659" s="4" t="s">
        <v>16</v>
      </c>
      <c r="L659" s="1" t="s">
        <v>23</v>
      </c>
      <c r="M659" s="1" t="s">
        <v>16</v>
      </c>
      <c r="N659" s="7" t="s">
        <v>16</v>
      </c>
      <c r="O659" s="6" t="str">
        <f>IFERROR(VLOOKUP(K659,'2. Buzzi Admin Only'!Q:R,2,0),"")</f>
        <v/>
      </c>
    </row>
    <row r="660" spans="1:15" ht="15.75" customHeight="1" x14ac:dyDescent="0.25">
      <c r="A660" s="1" t="s">
        <v>1818</v>
      </c>
      <c r="B660" s="1" t="s">
        <v>16</v>
      </c>
      <c r="C660" s="1" t="s">
        <v>16</v>
      </c>
      <c r="D660" s="2" t="s">
        <v>16</v>
      </c>
      <c r="E660" s="1" t="s">
        <v>1819</v>
      </c>
      <c r="F660" s="1" t="s">
        <v>20</v>
      </c>
      <c r="G660" s="1" t="s">
        <v>21</v>
      </c>
      <c r="H660" s="1" t="s">
        <v>1820</v>
      </c>
      <c r="I660" s="1" t="s">
        <v>16</v>
      </c>
      <c r="J660" s="1" t="s">
        <v>16</v>
      </c>
      <c r="K660" s="4" t="s">
        <v>16</v>
      </c>
      <c r="L660" s="1" t="s">
        <v>23</v>
      </c>
      <c r="M660" s="1" t="s">
        <v>16</v>
      </c>
      <c r="N660" s="7" t="s">
        <v>16</v>
      </c>
      <c r="O660" s="6" t="str">
        <f>IFERROR(VLOOKUP(K660,'2. Buzzi Admin Only'!Q:R,2,0),"")</f>
        <v/>
      </c>
    </row>
    <row r="661" spans="1:15" ht="15.75" customHeight="1" x14ac:dyDescent="0.25">
      <c r="A661" s="1" t="s">
        <v>1821</v>
      </c>
      <c r="B661" s="1" t="s">
        <v>38</v>
      </c>
      <c r="C661" s="1" t="s">
        <v>16</v>
      </c>
      <c r="D661" s="2" t="s">
        <v>1113</v>
      </c>
      <c r="E661" s="1" t="s">
        <v>900</v>
      </c>
      <c r="F661" s="1" t="s">
        <v>20</v>
      </c>
      <c r="G661" s="1" t="s">
        <v>28</v>
      </c>
      <c r="H661" s="1" t="s">
        <v>1822</v>
      </c>
      <c r="I661" s="1" t="s">
        <v>16</v>
      </c>
      <c r="J661" s="1" t="s">
        <v>16</v>
      </c>
      <c r="K661" s="4" t="s">
        <v>16</v>
      </c>
      <c r="L661" s="1" t="s">
        <v>23</v>
      </c>
      <c r="M661" s="1" t="s">
        <v>58</v>
      </c>
      <c r="N661" s="7" t="s">
        <v>16</v>
      </c>
      <c r="O661" s="6" t="str">
        <f>IFERROR(VLOOKUP(K661,'2. Buzzi Admin Only'!Q:R,2,0),"")</f>
        <v/>
      </c>
    </row>
    <row r="662" spans="1:15" ht="15.75" customHeight="1" x14ac:dyDescent="0.25">
      <c r="A662" s="1" t="s">
        <v>1823</v>
      </c>
      <c r="B662" s="1" t="s">
        <v>138</v>
      </c>
      <c r="C662" s="1" t="s">
        <v>16</v>
      </c>
      <c r="D662" s="2" t="s">
        <v>1824</v>
      </c>
      <c r="E662" s="1" t="s">
        <v>40</v>
      </c>
      <c r="F662" s="1" t="s">
        <v>20</v>
      </c>
      <c r="G662" s="1" t="s">
        <v>21</v>
      </c>
      <c r="H662" s="1" t="s">
        <v>16</v>
      </c>
      <c r="I662" s="1" t="s">
        <v>16</v>
      </c>
      <c r="J662" s="1" t="s">
        <v>16</v>
      </c>
      <c r="K662" s="4" t="s">
        <v>16</v>
      </c>
      <c r="L662" s="1" t="s">
        <v>23</v>
      </c>
      <c r="M662" s="1" t="s">
        <v>30</v>
      </c>
      <c r="N662" s="7" t="s">
        <v>16</v>
      </c>
      <c r="O662" s="6" t="str">
        <f>IFERROR(VLOOKUP(K662,'2. Buzzi Admin Only'!Q:R,2,0),"")</f>
        <v/>
      </c>
    </row>
    <row r="663" spans="1:15" ht="15.75" customHeight="1" x14ac:dyDescent="0.25">
      <c r="A663" s="1" t="s">
        <v>1825</v>
      </c>
      <c r="B663" s="1" t="s">
        <v>16</v>
      </c>
      <c r="C663" s="1" t="s">
        <v>16</v>
      </c>
      <c r="D663" s="2" t="s">
        <v>16</v>
      </c>
      <c r="E663" s="1" t="s">
        <v>16</v>
      </c>
      <c r="F663" s="1" t="s">
        <v>16</v>
      </c>
      <c r="G663" s="1" t="s">
        <v>16</v>
      </c>
      <c r="H663" s="1" t="s">
        <v>16</v>
      </c>
      <c r="I663" s="1" t="s">
        <v>16</v>
      </c>
      <c r="J663" s="1" t="s">
        <v>16</v>
      </c>
      <c r="K663" s="4" t="s">
        <v>16</v>
      </c>
      <c r="L663" s="1" t="s">
        <v>16</v>
      </c>
      <c r="M663" s="1" t="s">
        <v>16</v>
      </c>
      <c r="N663" s="7" t="s">
        <v>16</v>
      </c>
      <c r="O663" s="6" t="str">
        <f>IFERROR(VLOOKUP(K663,'2. Buzzi Admin Only'!Q:R,2,0),"")</f>
        <v/>
      </c>
    </row>
    <row r="664" spans="1:15" ht="15.75" customHeight="1" x14ac:dyDescent="0.25">
      <c r="A664" s="1" t="s">
        <v>1826</v>
      </c>
      <c r="B664" s="1" t="s">
        <v>158</v>
      </c>
      <c r="C664" s="1" t="s">
        <v>16</v>
      </c>
      <c r="D664" s="2" t="s">
        <v>1093</v>
      </c>
      <c r="E664" s="1" t="s">
        <v>1415</v>
      </c>
      <c r="F664" s="1" t="s">
        <v>20</v>
      </c>
      <c r="G664" s="1" t="s">
        <v>28</v>
      </c>
      <c r="H664" s="1" t="s">
        <v>1827</v>
      </c>
      <c r="I664" s="1" t="s">
        <v>16</v>
      </c>
      <c r="J664" s="1" t="s">
        <v>57</v>
      </c>
      <c r="K664" s="4" t="s">
        <v>16</v>
      </c>
      <c r="L664" s="1" t="s">
        <v>23</v>
      </c>
      <c r="M664" s="1" t="s">
        <v>52</v>
      </c>
      <c r="N664" s="7" t="s">
        <v>16</v>
      </c>
      <c r="O664" s="6" t="str">
        <f>IFERROR(VLOOKUP(K664,'2. Buzzi Admin Only'!Q:R,2,0),"")</f>
        <v/>
      </c>
    </row>
    <row r="665" spans="1:15" ht="15.75" customHeight="1" x14ac:dyDescent="0.25">
      <c r="A665" s="1" t="s">
        <v>1828</v>
      </c>
      <c r="B665" s="1" t="s">
        <v>38</v>
      </c>
      <c r="C665" s="1" t="s">
        <v>1829</v>
      </c>
      <c r="D665" s="2" t="s">
        <v>1830</v>
      </c>
      <c r="E665" s="1" t="s">
        <v>1831</v>
      </c>
      <c r="F665" s="1" t="s">
        <v>20</v>
      </c>
      <c r="G665" s="1" t="s">
        <v>21</v>
      </c>
      <c r="H665" s="1" t="s">
        <v>1832</v>
      </c>
      <c r="I665" s="1" t="s">
        <v>16</v>
      </c>
      <c r="J665" s="1" t="s">
        <v>16</v>
      </c>
      <c r="K665" s="4" t="s">
        <v>16</v>
      </c>
      <c r="L665" s="1" t="s">
        <v>23</v>
      </c>
      <c r="M665" s="1" t="s">
        <v>58</v>
      </c>
      <c r="N665" s="7" t="s">
        <v>16</v>
      </c>
      <c r="O665" s="6" t="str">
        <f>IFERROR(VLOOKUP(K665,'2. Buzzi Admin Only'!Q:R,2,0),"")</f>
        <v/>
      </c>
    </row>
    <row r="666" spans="1:15" ht="15.75" customHeight="1" x14ac:dyDescent="0.25">
      <c r="A666" s="1" t="s">
        <v>1833</v>
      </c>
      <c r="B666" s="1" t="s">
        <v>16</v>
      </c>
      <c r="C666" s="1" t="s">
        <v>16</v>
      </c>
      <c r="D666" s="2" t="s">
        <v>632</v>
      </c>
      <c r="E666" s="1" t="s">
        <v>1248</v>
      </c>
      <c r="F666" s="1" t="s">
        <v>20</v>
      </c>
      <c r="G666" s="1" t="s">
        <v>21</v>
      </c>
      <c r="H666" s="1" t="s">
        <v>1834</v>
      </c>
      <c r="I666" s="1" t="s">
        <v>16</v>
      </c>
      <c r="J666" s="1" t="s">
        <v>57</v>
      </c>
      <c r="K666" s="4" t="s">
        <v>16</v>
      </c>
      <c r="L666" s="1" t="s">
        <v>23</v>
      </c>
      <c r="M666" s="1" t="s">
        <v>58</v>
      </c>
      <c r="N666" s="7" t="s">
        <v>16</v>
      </c>
      <c r="O666" s="6" t="str">
        <f>IFERROR(VLOOKUP(K666,'2. Buzzi Admin Only'!Q:R,2,0),"")</f>
        <v/>
      </c>
    </row>
    <row r="667" spans="1:15" ht="15.75" customHeight="1" x14ac:dyDescent="0.25">
      <c r="A667" s="1" t="s">
        <v>1835</v>
      </c>
      <c r="B667" s="1" t="s">
        <v>16</v>
      </c>
      <c r="C667" s="1" t="s">
        <v>16</v>
      </c>
      <c r="D667" s="2" t="s">
        <v>1229</v>
      </c>
      <c r="E667" s="1" t="s">
        <v>40</v>
      </c>
      <c r="F667" s="1" t="s">
        <v>20</v>
      </c>
      <c r="G667" s="1" t="s">
        <v>21</v>
      </c>
      <c r="H667" s="1" t="s">
        <v>16</v>
      </c>
      <c r="I667" s="1" t="s">
        <v>16</v>
      </c>
      <c r="J667" s="1" t="s">
        <v>16</v>
      </c>
      <c r="K667" s="10">
        <v>471</v>
      </c>
      <c r="L667" s="1" t="s">
        <v>23</v>
      </c>
      <c r="M667" s="1" t="s">
        <v>16</v>
      </c>
      <c r="N667" s="7" t="s">
        <v>16</v>
      </c>
      <c r="O667" s="6" t="str">
        <f>IFERROR(VLOOKUP(K667,'2. Buzzi Admin Only'!Q:R,2,0),"")</f>
        <v>Tire Unloading &amp; Conveying</v>
      </c>
    </row>
    <row r="668" spans="1:15" ht="15.75" customHeight="1" x14ac:dyDescent="0.25">
      <c r="A668" s="1" t="s">
        <v>1836</v>
      </c>
      <c r="B668" s="1" t="s">
        <v>16</v>
      </c>
      <c r="C668" s="1" t="s">
        <v>16</v>
      </c>
      <c r="D668" s="2" t="s">
        <v>16</v>
      </c>
      <c r="E668" s="1" t="s">
        <v>40</v>
      </c>
      <c r="F668" s="1" t="s">
        <v>20</v>
      </c>
      <c r="G668" s="1" t="s">
        <v>70</v>
      </c>
      <c r="H668" s="1" t="s">
        <v>1837</v>
      </c>
      <c r="I668" s="1" t="s">
        <v>16</v>
      </c>
      <c r="J668" s="1" t="s">
        <v>16</v>
      </c>
      <c r="K668" s="4" t="s">
        <v>16</v>
      </c>
      <c r="L668" s="1" t="s">
        <v>71</v>
      </c>
      <c r="M668" s="1" t="s">
        <v>16</v>
      </c>
      <c r="N668" s="7" t="s">
        <v>16</v>
      </c>
      <c r="O668" s="6" t="str">
        <f>IFERROR(VLOOKUP(K668,'2. Buzzi Admin Only'!Q:R,2,0),"")</f>
        <v/>
      </c>
    </row>
    <row r="669" spans="1:15" ht="15.75" customHeight="1" x14ac:dyDescent="0.25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4"/>
      <c r="L669" s="1"/>
      <c r="M669" s="1"/>
      <c r="N669" s="7" t="s">
        <v>16</v>
      </c>
      <c r="O669" s="6" t="str">
        <f>IFERROR(VLOOKUP(K669,'2. Buzzi Admin Only'!Q:R,2,0),"")</f>
        <v/>
      </c>
    </row>
    <row r="670" spans="1:15" ht="15.75" customHeight="1" x14ac:dyDescent="0.25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4"/>
      <c r="L670" s="1"/>
      <c r="M670" s="1"/>
      <c r="N670" s="7" t="s">
        <v>16</v>
      </c>
      <c r="O670" s="6" t="str">
        <f>IFERROR(VLOOKUP(K670,'2. Buzzi Admin Only'!Q:R,2,0),"")</f>
        <v/>
      </c>
    </row>
    <row r="671" spans="1:15" ht="15.75" customHeight="1" x14ac:dyDescent="0.25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4"/>
      <c r="L671" s="1"/>
      <c r="M671" s="1"/>
      <c r="N671" s="7" t="s">
        <v>16</v>
      </c>
      <c r="O671" s="6" t="str">
        <f>IFERROR(VLOOKUP(K671,'2. Buzzi Admin Only'!Q:R,2,0),"")</f>
        <v/>
      </c>
    </row>
    <row r="672" spans="1:15" ht="15.75" customHeight="1" x14ac:dyDescent="0.25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4"/>
      <c r="L672" s="1"/>
      <c r="M672" s="1"/>
      <c r="N672" s="7" t="s">
        <v>16</v>
      </c>
      <c r="O672" s="6" t="str">
        <f>IFERROR(VLOOKUP(K672,'2. Buzzi Admin Only'!Q:R,2,0),"")</f>
        <v/>
      </c>
    </row>
    <row r="673" spans="1:15" ht="15.75" customHeight="1" x14ac:dyDescent="0.25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4"/>
      <c r="L673" s="1"/>
      <c r="M673" s="1"/>
      <c r="N673" s="7" t="s">
        <v>16</v>
      </c>
      <c r="O673" s="6" t="str">
        <f>IFERROR(VLOOKUP(K673,'2. Buzzi Admin Only'!Q:R,2,0),"")</f>
        <v/>
      </c>
    </row>
    <row r="674" spans="1:15" ht="15.75" customHeight="1" x14ac:dyDescent="0.25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4"/>
      <c r="L674" s="1"/>
      <c r="M674" s="1"/>
      <c r="N674" s="7" t="s">
        <v>16</v>
      </c>
      <c r="O674" s="6" t="str">
        <f>IFERROR(VLOOKUP(K674,'2. Buzzi Admin Only'!Q:R,2,0),"")</f>
        <v/>
      </c>
    </row>
    <row r="675" spans="1:15" ht="15.75" customHeight="1" x14ac:dyDescent="0.25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4"/>
      <c r="L675" s="1"/>
      <c r="M675" s="1"/>
      <c r="N675" s="7" t="s">
        <v>16</v>
      </c>
      <c r="O675" s="6" t="str">
        <f>IFERROR(VLOOKUP(K675,'2. Buzzi Admin Only'!Q:R,2,0),"")</f>
        <v/>
      </c>
    </row>
    <row r="676" spans="1:15" ht="15.75" customHeight="1" x14ac:dyDescent="0.25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4"/>
      <c r="L676" s="1"/>
      <c r="M676" s="1"/>
      <c r="N676" s="7" t="s">
        <v>16</v>
      </c>
      <c r="O676" s="6" t="str">
        <f>IFERROR(VLOOKUP(K676,'2. Buzzi Admin Only'!Q:R,2,0),"")</f>
        <v/>
      </c>
    </row>
    <row r="677" spans="1:15" ht="15.75" customHeight="1" x14ac:dyDescent="0.25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4"/>
      <c r="L677" s="1"/>
      <c r="M677" s="1"/>
      <c r="N677" s="7" t="s">
        <v>16</v>
      </c>
      <c r="O677" s="6" t="str">
        <f>IFERROR(VLOOKUP(K677,'2. Buzzi Admin Only'!Q:R,2,0),"")</f>
        <v/>
      </c>
    </row>
    <row r="678" spans="1:15" ht="15.75" customHeight="1" x14ac:dyDescent="0.25">
      <c r="A678" s="1"/>
      <c r="B678" s="1"/>
      <c r="C678" s="1"/>
      <c r="D678" s="2"/>
      <c r="E678" s="1"/>
      <c r="F678" s="1"/>
      <c r="G678" s="1"/>
      <c r="H678" s="1"/>
      <c r="I678" s="1"/>
      <c r="J678" s="1"/>
      <c r="K678" s="4"/>
      <c r="L678" s="1"/>
      <c r="M678" s="1"/>
      <c r="N678" s="7" t="s">
        <v>16</v>
      </c>
      <c r="O678" s="6" t="str">
        <f>IFERROR(VLOOKUP(K678,'2. Buzzi Admin Only'!Q:R,2,0),"")</f>
        <v/>
      </c>
    </row>
    <row r="679" spans="1:15" ht="15.75" customHeight="1" x14ac:dyDescent="0.25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4"/>
      <c r="L679" s="1"/>
      <c r="M679" s="1"/>
      <c r="N679" s="7" t="s">
        <v>16</v>
      </c>
      <c r="O679" s="6" t="str">
        <f>IFERROR(VLOOKUP(K679,'2. Buzzi Admin Only'!Q:R,2,0),"")</f>
        <v/>
      </c>
    </row>
    <row r="680" spans="1:15" ht="15.75" customHeight="1" x14ac:dyDescent="0.25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4"/>
      <c r="L680" s="1"/>
      <c r="M680" s="1"/>
      <c r="N680" s="7" t="s">
        <v>16</v>
      </c>
      <c r="O680" s="6" t="str">
        <f>IFERROR(VLOOKUP(K680,'2. Buzzi Admin Only'!Q:R,2,0),"")</f>
        <v/>
      </c>
    </row>
    <row r="681" spans="1:15" ht="15.75" customHeight="1" x14ac:dyDescent="0.25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4"/>
      <c r="L681" s="1"/>
      <c r="M681" s="1"/>
      <c r="N681" s="7" t="s">
        <v>16</v>
      </c>
      <c r="O681" s="6" t="str">
        <f>IFERROR(VLOOKUP(K681,'2. Buzzi Admin Only'!Q:R,2,0),"")</f>
        <v/>
      </c>
    </row>
    <row r="682" spans="1:15" ht="15.75" customHeight="1" x14ac:dyDescent="0.25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4"/>
      <c r="L682" s="1"/>
      <c r="M682" s="1"/>
      <c r="N682" s="7" t="s">
        <v>16</v>
      </c>
      <c r="O682" s="6" t="str">
        <f>IFERROR(VLOOKUP(K682,'2. Buzzi Admin Only'!Q:R,2,0),"")</f>
        <v/>
      </c>
    </row>
    <row r="683" spans="1:15" ht="15.75" customHeight="1" x14ac:dyDescent="0.25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4"/>
      <c r="L683" s="1"/>
      <c r="M683" s="1"/>
      <c r="N683" s="7" t="s">
        <v>16</v>
      </c>
      <c r="O683" s="6" t="str">
        <f>IFERROR(VLOOKUP(K683,'2. Buzzi Admin Only'!Q:R,2,0),"")</f>
        <v/>
      </c>
    </row>
    <row r="684" spans="1:15" ht="15.75" customHeight="1" x14ac:dyDescent="0.25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4"/>
      <c r="L684" s="1"/>
      <c r="M684" s="1"/>
      <c r="N684" s="7" t="s">
        <v>16</v>
      </c>
      <c r="O684" s="6" t="str">
        <f>IFERROR(VLOOKUP(K684,'2. Buzzi Admin Only'!Q:R,2,0),"")</f>
        <v/>
      </c>
    </row>
    <row r="685" spans="1:15" ht="15.75" customHeight="1" x14ac:dyDescent="0.25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4"/>
      <c r="L685" s="1"/>
      <c r="M685" s="1"/>
      <c r="N685" s="7" t="s">
        <v>16</v>
      </c>
      <c r="O685" s="6" t="str">
        <f>IFERROR(VLOOKUP(K685,'2. Buzzi Admin Only'!Q:R,2,0),"")</f>
        <v/>
      </c>
    </row>
    <row r="686" spans="1:15" ht="15.75" customHeight="1" x14ac:dyDescent="0.25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4"/>
      <c r="L686" s="1"/>
      <c r="M686" s="1"/>
      <c r="N686" s="7" t="s">
        <v>16</v>
      </c>
      <c r="O686" s="6" t="str">
        <f>IFERROR(VLOOKUP(K686,'2. Buzzi Admin Only'!Q:R,2,0),"")</f>
        <v/>
      </c>
    </row>
    <row r="687" spans="1:15" ht="15.75" customHeight="1" x14ac:dyDescent="0.25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4"/>
      <c r="L687" s="1"/>
      <c r="M687" s="1"/>
      <c r="N687" s="7" t="s">
        <v>16</v>
      </c>
      <c r="O687" s="6" t="str">
        <f>IFERROR(VLOOKUP(K687,'2. Buzzi Admin Only'!Q:R,2,0),"")</f>
        <v/>
      </c>
    </row>
    <row r="688" spans="1:15" ht="15.75" customHeight="1" x14ac:dyDescent="0.25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4"/>
      <c r="L688" s="1"/>
      <c r="M688" s="1"/>
      <c r="N688" s="7" t="s">
        <v>16</v>
      </c>
      <c r="O688" s="6" t="str">
        <f>IFERROR(VLOOKUP(K688,'2. Buzzi Admin Only'!Q:R,2,0),"")</f>
        <v/>
      </c>
    </row>
    <row r="689" spans="1:15" ht="15.75" customHeight="1" x14ac:dyDescent="0.25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4"/>
      <c r="L689" s="1"/>
      <c r="M689" s="1"/>
      <c r="N689" s="7" t="s">
        <v>16</v>
      </c>
      <c r="O689" s="6" t="str">
        <f>IFERROR(VLOOKUP(K689,'2. Buzzi Admin Only'!Q:R,2,0),"")</f>
        <v/>
      </c>
    </row>
    <row r="690" spans="1:15" ht="15.75" customHeight="1" x14ac:dyDescent="0.25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4"/>
      <c r="L690" s="1"/>
      <c r="M690" s="1"/>
      <c r="N690" s="7" t="s">
        <v>16</v>
      </c>
      <c r="O690" s="6" t="str">
        <f>IFERROR(VLOOKUP(K690,'2. Buzzi Admin Only'!Q:R,2,0),"")</f>
        <v/>
      </c>
    </row>
    <row r="691" spans="1:15" ht="15.75" customHeight="1" x14ac:dyDescent="0.25">
      <c r="A691" s="1"/>
      <c r="B691" s="1"/>
      <c r="C691" s="1"/>
      <c r="D691" s="2"/>
      <c r="E691" s="1"/>
      <c r="F691" s="1"/>
      <c r="G691" s="1"/>
      <c r="H691" s="1"/>
      <c r="I691" s="1"/>
      <c r="J691" s="1"/>
      <c r="K691" s="4"/>
      <c r="L691" s="1"/>
      <c r="M691" s="1"/>
      <c r="N691" s="7" t="s">
        <v>16</v>
      </c>
      <c r="O691" s="6" t="str">
        <f>IFERROR(VLOOKUP(K691,'2. Buzzi Admin Only'!Q:R,2,0),"")</f>
        <v/>
      </c>
    </row>
    <row r="692" spans="1:15" ht="15.75" customHeight="1" x14ac:dyDescent="0.25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4"/>
      <c r="L692" s="1"/>
      <c r="M692" s="1"/>
      <c r="N692" s="7" t="s">
        <v>16</v>
      </c>
      <c r="O692" s="6" t="str">
        <f>IFERROR(VLOOKUP(K692,'2. Buzzi Admin Only'!Q:R,2,0),"")</f>
        <v/>
      </c>
    </row>
    <row r="693" spans="1:15" ht="15.75" customHeight="1" x14ac:dyDescent="0.25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4"/>
      <c r="L693" s="1"/>
      <c r="M693" s="1"/>
      <c r="N693" s="7" t="s">
        <v>16</v>
      </c>
      <c r="O693" s="6" t="str">
        <f>IFERROR(VLOOKUP(K693,'2. Buzzi Admin Only'!Q:R,2,0),"")</f>
        <v/>
      </c>
    </row>
    <row r="694" spans="1:15" ht="15.75" customHeight="1" x14ac:dyDescent="0.25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4"/>
      <c r="L694" s="1"/>
      <c r="M694" s="1"/>
      <c r="N694" s="7" t="s">
        <v>16</v>
      </c>
      <c r="O694" s="6" t="str">
        <f>IFERROR(VLOOKUP(K694,'2. Buzzi Admin Only'!Q:R,2,0),"")</f>
        <v/>
      </c>
    </row>
    <row r="695" spans="1:15" ht="15.75" customHeight="1" x14ac:dyDescent="0.25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4"/>
      <c r="L695" s="1"/>
      <c r="M695" s="1"/>
      <c r="N695" s="7" t="s">
        <v>16</v>
      </c>
      <c r="O695" s="6" t="str">
        <f>IFERROR(VLOOKUP(K695,'2. Buzzi Admin Only'!Q:R,2,0),"")</f>
        <v/>
      </c>
    </row>
    <row r="696" spans="1:15" ht="15.75" customHeight="1" x14ac:dyDescent="0.25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4"/>
      <c r="L696" s="1"/>
      <c r="M696" s="1"/>
      <c r="N696" s="7" t="s">
        <v>16</v>
      </c>
      <c r="O696" s="6" t="str">
        <f>IFERROR(VLOOKUP(K696,'2. Buzzi Admin Only'!Q:R,2,0),"")</f>
        <v/>
      </c>
    </row>
    <row r="697" spans="1:15" ht="15.75" customHeight="1" x14ac:dyDescent="0.25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4"/>
      <c r="L697" s="1"/>
      <c r="M697" s="1"/>
      <c r="N697" s="7" t="s">
        <v>16</v>
      </c>
      <c r="O697" s="6" t="str">
        <f>IFERROR(VLOOKUP(K697,'2. Buzzi Admin Only'!Q:R,2,0),"")</f>
        <v/>
      </c>
    </row>
    <row r="698" spans="1:15" ht="15.75" customHeight="1" x14ac:dyDescent="0.25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4"/>
      <c r="L698" s="1"/>
      <c r="M698" s="1"/>
      <c r="N698" s="7" t="s">
        <v>16</v>
      </c>
      <c r="O698" s="6" t="str">
        <f>IFERROR(VLOOKUP(K698,'2. Buzzi Admin Only'!Q:R,2,0),"")</f>
        <v/>
      </c>
    </row>
    <row r="699" spans="1:15" ht="15.75" customHeight="1" x14ac:dyDescent="0.25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4"/>
      <c r="L699" s="1"/>
      <c r="M699" s="1"/>
      <c r="N699" s="7" t="s">
        <v>16</v>
      </c>
      <c r="O699" s="6" t="str">
        <f>IFERROR(VLOOKUP(K699,'2. Buzzi Admin Only'!Q:R,2,0),"")</f>
        <v/>
      </c>
    </row>
    <row r="700" spans="1:15" ht="15.75" customHeight="1" x14ac:dyDescent="0.25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4"/>
      <c r="L700" s="1"/>
      <c r="M700" s="1"/>
      <c r="N700" s="7" t="s">
        <v>16</v>
      </c>
      <c r="O700" s="6" t="str">
        <f>IFERROR(VLOOKUP(K700,'2. Buzzi Admin Only'!Q:R,2,0),"")</f>
        <v/>
      </c>
    </row>
    <row r="701" spans="1:15" ht="15.75" customHeight="1" x14ac:dyDescent="0.25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4"/>
      <c r="L701" s="1"/>
      <c r="M701" s="1"/>
      <c r="N701" s="7" t="s">
        <v>16</v>
      </c>
      <c r="O701" s="6" t="str">
        <f>IFERROR(VLOOKUP(K701,'2. Buzzi Admin Only'!Q:R,2,0),"")</f>
        <v/>
      </c>
    </row>
    <row r="702" spans="1:15" ht="15.75" customHeight="1" x14ac:dyDescent="0.25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4"/>
      <c r="L702" s="1"/>
      <c r="M702" s="1"/>
      <c r="N702" s="7" t="s">
        <v>16</v>
      </c>
      <c r="O702" s="6" t="str">
        <f>IFERROR(VLOOKUP(K702,'2. Buzzi Admin Only'!Q:R,2,0),"")</f>
        <v/>
      </c>
    </row>
    <row r="703" spans="1:15" ht="15.75" customHeight="1" x14ac:dyDescent="0.25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4"/>
      <c r="L703" s="1"/>
      <c r="M703" s="1"/>
      <c r="N703" s="7" t="s">
        <v>16</v>
      </c>
      <c r="O703" s="6" t="str">
        <f>IFERROR(VLOOKUP(K703,'2. Buzzi Admin Only'!Q:R,2,0),"")</f>
        <v/>
      </c>
    </row>
    <row r="704" spans="1:15" ht="15.75" customHeight="1" x14ac:dyDescent="0.25">
      <c r="A704" s="1"/>
      <c r="B704" s="1"/>
      <c r="C704" s="1"/>
      <c r="D704" s="2"/>
      <c r="E704" s="1"/>
      <c r="F704" s="1"/>
      <c r="G704" s="1"/>
      <c r="H704" s="1"/>
      <c r="I704" s="1"/>
      <c r="J704" s="1"/>
      <c r="K704" s="4"/>
      <c r="L704" s="1"/>
      <c r="M704" s="1"/>
      <c r="N704" s="7" t="s">
        <v>16</v>
      </c>
      <c r="O704" s="6" t="str">
        <f>IFERROR(VLOOKUP(K704,'2. Buzzi Admin Only'!Q:R,2,0),"")</f>
        <v/>
      </c>
    </row>
    <row r="705" spans="1:15" ht="15.75" customHeight="1" x14ac:dyDescent="0.25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4"/>
      <c r="L705" s="1"/>
      <c r="M705" s="1"/>
      <c r="N705" s="7" t="s">
        <v>16</v>
      </c>
      <c r="O705" s="6" t="str">
        <f>IFERROR(VLOOKUP(K705,'2. Buzzi Admin Only'!Q:R,2,0),"")</f>
        <v/>
      </c>
    </row>
    <row r="706" spans="1:15" ht="15.75" customHeight="1" x14ac:dyDescent="0.25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4"/>
      <c r="L706" s="1"/>
      <c r="M706" s="1"/>
      <c r="N706" s="7" t="s">
        <v>16</v>
      </c>
      <c r="O706" s="6" t="str">
        <f>IFERROR(VLOOKUP(K706,'2. Buzzi Admin Only'!Q:R,2,0),"")</f>
        <v/>
      </c>
    </row>
    <row r="707" spans="1:15" ht="15.75" customHeight="1" x14ac:dyDescent="0.25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4"/>
      <c r="L707" s="1"/>
      <c r="M707" s="1"/>
      <c r="N707" s="7" t="s">
        <v>16</v>
      </c>
      <c r="O707" s="6" t="str">
        <f>IFERROR(VLOOKUP(K707,'2. Buzzi Admin Only'!Q:R,2,0),"")</f>
        <v/>
      </c>
    </row>
    <row r="708" spans="1:15" ht="15.75" customHeight="1" x14ac:dyDescent="0.25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4"/>
      <c r="L708" s="1"/>
      <c r="M708" s="1"/>
      <c r="N708" s="7" t="s">
        <v>16</v>
      </c>
      <c r="O708" s="6" t="str">
        <f>IFERROR(VLOOKUP(K708,'2. Buzzi Admin Only'!Q:R,2,0),"")</f>
        <v/>
      </c>
    </row>
    <row r="709" spans="1:15" ht="15.75" customHeight="1" x14ac:dyDescent="0.25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4"/>
      <c r="L709" s="1"/>
      <c r="M709" s="1"/>
      <c r="N709" s="7" t="s">
        <v>16</v>
      </c>
      <c r="O709" s="6" t="str">
        <f>IFERROR(VLOOKUP(K709,'2. Buzzi Admin Only'!Q:R,2,0),"")</f>
        <v/>
      </c>
    </row>
    <row r="710" spans="1:15" ht="15.75" customHeight="1" x14ac:dyDescent="0.25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4"/>
      <c r="L710" s="1"/>
      <c r="M710" s="1"/>
      <c r="N710" s="7" t="s">
        <v>16</v>
      </c>
      <c r="O710" s="6" t="str">
        <f>IFERROR(VLOOKUP(K710,'2. Buzzi Admin Only'!Q:R,2,0),"")</f>
        <v/>
      </c>
    </row>
    <row r="711" spans="1:15" ht="15.75" customHeight="1" x14ac:dyDescent="0.25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4"/>
      <c r="L711" s="1"/>
      <c r="M711" s="1"/>
      <c r="N711" s="7" t="s">
        <v>16</v>
      </c>
      <c r="O711" s="6" t="str">
        <f>IFERROR(VLOOKUP(K711,'2. Buzzi Admin Only'!Q:R,2,0),"")</f>
        <v/>
      </c>
    </row>
    <row r="712" spans="1:15" ht="15.75" customHeight="1" x14ac:dyDescent="0.25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4"/>
      <c r="L712" s="1"/>
      <c r="M712" s="1"/>
      <c r="N712" s="7" t="s">
        <v>16</v>
      </c>
      <c r="O712" s="6" t="str">
        <f>IFERROR(VLOOKUP(K712,'2. Buzzi Admin Only'!Q:R,2,0),"")</f>
        <v/>
      </c>
    </row>
    <row r="713" spans="1:15" ht="15.75" customHeight="1" x14ac:dyDescent="0.25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4"/>
      <c r="L713" s="1"/>
      <c r="M713" s="1"/>
      <c r="N713" s="7" t="s">
        <v>16</v>
      </c>
      <c r="O713" s="6" t="str">
        <f>IFERROR(VLOOKUP(K713,'2. Buzzi Admin Only'!Q:R,2,0),"")</f>
        <v/>
      </c>
    </row>
    <row r="714" spans="1:15" ht="15.75" customHeight="1" x14ac:dyDescent="0.25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4"/>
      <c r="L714" s="1"/>
      <c r="M714" s="1"/>
      <c r="N714" s="7" t="s">
        <v>16</v>
      </c>
      <c r="O714" s="6" t="str">
        <f>IFERROR(VLOOKUP(K714,'2. Buzzi Admin Only'!Q:R,2,0),"")</f>
        <v/>
      </c>
    </row>
    <row r="715" spans="1:15" ht="15.75" customHeight="1" x14ac:dyDescent="0.25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4"/>
      <c r="L715" s="1"/>
      <c r="M715" s="1"/>
      <c r="N715" s="7" t="s">
        <v>16</v>
      </c>
      <c r="O715" s="6" t="str">
        <f>IFERROR(VLOOKUP(K715,'2. Buzzi Admin Only'!Q:R,2,0),"")</f>
        <v/>
      </c>
    </row>
    <row r="716" spans="1:15" ht="15.75" customHeight="1" x14ac:dyDescent="0.25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4"/>
      <c r="L716" s="1"/>
      <c r="M716" s="1"/>
      <c r="N716" s="7" t="s">
        <v>16</v>
      </c>
      <c r="O716" s="6" t="str">
        <f>IFERROR(VLOOKUP(K716,'2. Buzzi Admin Only'!Q:R,2,0),"")</f>
        <v/>
      </c>
    </row>
    <row r="717" spans="1:15" ht="15.75" customHeight="1" x14ac:dyDescent="0.25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4"/>
      <c r="L717" s="1"/>
      <c r="M717" s="1"/>
      <c r="N717" s="7" t="s">
        <v>16</v>
      </c>
      <c r="O717" s="6" t="str">
        <f>IFERROR(VLOOKUP(K717,'2. Buzzi Admin Only'!Q:R,2,0),"")</f>
        <v/>
      </c>
    </row>
    <row r="718" spans="1:15" ht="15.75" customHeight="1" x14ac:dyDescent="0.25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4"/>
      <c r="L718" s="1"/>
      <c r="M718" s="1"/>
      <c r="N718" s="7" t="s">
        <v>16</v>
      </c>
      <c r="O718" s="6" t="str">
        <f>IFERROR(VLOOKUP(K718,'2. Buzzi Admin Only'!Q:R,2,0),"")</f>
        <v/>
      </c>
    </row>
    <row r="719" spans="1:15" ht="15.75" customHeight="1" x14ac:dyDescent="0.25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4"/>
      <c r="L719" s="1"/>
      <c r="M719" s="1"/>
      <c r="N719" s="7" t="s">
        <v>16</v>
      </c>
      <c r="O719" s="6" t="str">
        <f>IFERROR(VLOOKUP(K719,'2. Buzzi Admin Only'!Q:R,2,0),"")</f>
        <v/>
      </c>
    </row>
    <row r="720" spans="1:15" ht="15.75" customHeight="1" x14ac:dyDescent="0.25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4"/>
      <c r="L720" s="1"/>
      <c r="M720" s="1"/>
      <c r="N720" s="7" t="s">
        <v>16</v>
      </c>
      <c r="O720" s="6" t="str">
        <f>IFERROR(VLOOKUP(K720,'2. Buzzi Admin Only'!Q:R,2,0),"")</f>
        <v/>
      </c>
    </row>
    <row r="721" spans="1:15" ht="15.75" customHeight="1" x14ac:dyDescent="0.25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4"/>
      <c r="L721" s="1"/>
      <c r="M721" s="1"/>
      <c r="N721" s="7" t="s">
        <v>16</v>
      </c>
      <c r="O721" s="6" t="str">
        <f>IFERROR(VLOOKUP(K721,'2. Buzzi Admin Only'!Q:R,2,0),"")</f>
        <v/>
      </c>
    </row>
    <row r="722" spans="1:15" ht="15.75" customHeight="1" x14ac:dyDescent="0.25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4"/>
      <c r="L722" s="1"/>
      <c r="M722" s="1"/>
      <c r="N722" s="7" t="s">
        <v>16</v>
      </c>
      <c r="O722" s="6" t="str">
        <f>IFERROR(VLOOKUP(K722,'2. Buzzi Admin Only'!Q:R,2,0),"")</f>
        <v/>
      </c>
    </row>
    <row r="723" spans="1:15" ht="15.75" customHeight="1" x14ac:dyDescent="0.25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4"/>
      <c r="L723" s="1"/>
      <c r="M723" s="1"/>
      <c r="N723" s="7" t="s">
        <v>16</v>
      </c>
      <c r="O723" s="6" t="str">
        <f>IFERROR(VLOOKUP(K723,'2. Buzzi Admin Only'!Q:R,2,0),"")</f>
        <v/>
      </c>
    </row>
    <row r="724" spans="1:15" ht="15.75" customHeight="1" x14ac:dyDescent="0.25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4"/>
      <c r="L724" s="1"/>
      <c r="M724" s="1"/>
      <c r="N724" s="7" t="s">
        <v>16</v>
      </c>
      <c r="O724" s="6" t="str">
        <f>IFERROR(VLOOKUP(K724,'2. Buzzi Admin Only'!Q:R,2,0),"")</f>
        <v/>
      </c>
    </row>
    <row r="725" spans="1:15" ht="15.75" customHeight="1" x14ac:dyDescent="0.25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4"/>
      <c r="L725" s="1"/>
      <c r="M725" s="1"/>
      <c r="N725" s="7" t="s">
        <v>16</v>
      </c>
      <c r="O725" s="6" t="str">
        <f>IFERROR(VLOOKUP(K725,'2. Buzzi Admin Only'!Q:R,2,0),"")</f>
        <v/>
      </c>
    </row>
    <row r="726" spans="1:15" ht="15.75" customHeight="1" x14ac:dyDescent="0.25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4"/>
      <c r="L726" s="1"/>
      <c r="M726" s="1"/>
      <c r="N726" s="7" t="s">
        <v>16</v>
      </c>
      <c r="O726" s="6" t="str">
        <f>IFERROR(VLOOKUP(K726,'2. Buzzi Admin Only'!Q:R,2,0),"")</f>
        <v/>
      </c>
    </row>
    <row r="727" spans="1:15" ht="15.75" customHeight="1" x14ac:dyDescent="0.25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4"/>
      <c r="L727" s="1"/>
      <c r="M727" s="1"/>
      <c r="N727" s="7" t="s">
        <v>16</v>
      </c>
      <c r="O727" s="6" t="str">
        <f>IFERROR(VLOOKUP(K727,'2. Buzzi Admin Only'!Q:R,2,0),"")</f>
        <v/>
      </c>
    </row>
    <row r="728" spans="1:15" ht="15.75" customHeight="1" x14ac:dyDescent="0.25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4"/>
      <c r="L728" s="1"/>
      <c r="M728" s="1"/>
      <c r="N728" s="7" t="s">
        <v>16</v>
      </c>
      <c r="O728" s="6" t="str">
        <f>IFERROR(VLOOKUP(K728,'2. Buzzi Admin Only'!Q:R,2,0),"")</f>
        <v/>
      </c>
    </row>
    <row r="729" spans="1:15" ht="15.75" customHeight="1" x14ac:dyDescent="0.25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4"/>
      <c r="L729" s="1"/>
      <c r="M729" s="1"/>
      <c r="N729" s="7" t="s">
        <v>16</v>
      </c>
      <c r="O729" s="6" t="str">
        <f>IFERROR(VLOOKUP(K729,'2. Buzzi Admin Only'!Q:R,2,0),"")</f>
        <v/>
      </c>
    </row>
    <row r="730" spans="1:15" ht="15.75" customHeight="1" x14ac:dyDescent="0.25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4"/>
      <c r="L730" s="1"/>
      <c r="M730" s="1"/>
      <c r="N730" s="7" t="s">
        <v>16</v>
      </c>
      <c r="O730" s="6" t="str">
        <f>IFERROR(VLOOKUP(K730,'2. Buzzi Admin Only'!Q:R,2,0),"")</f>
        <v/>
      </c>
    </row>
    <row r="731" spans="1:15" ht="15.75" customHeight="1" x14ac:dyDescent="0.25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4"/>
      <c r="L731" s="1"/>
      <c r="M731" s="1"/>
      <c r="N731" s="7" t="s">
        <v>16</v>
      </c>
      <c r="O731" s="6" t="str">
        <f>IFERROR(VLOOKUP(K731,'2. Buzzi Admin Only'!Q:R,2,0),"")</f>
        <v/>
      </c>
    </row>
    <row r="732" spans="1:15" ht="15.75" customHeight="1" x14ac:dyDescent="0.25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4"/>
      <c r="L732" s="1"/>
      <c r="M732" s="1"/>
      <c r="N732" s="7" t="s">
        <v>16</v>
      </c>
      <c r="O732" s="6" t="str">
        <f>IFERROR(VLOOKUP(K732,'2. Buzzi Admin Only'!Q:R,2,0),"")</f>
        <v/>
      </c>
    </row>
    <row r="733" spans="1:15" ht="15.75" customHeight="1" x14ac:dyDescent="0.25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4"/>
      <c r="L733" s="1"/>
      <c r="M733" s="1"/>
      <c r="N733" s="7" t="s">
        <v>16</v>
      </c>
      <c r="O733" s="6" t="str">
        <f>IFERROR(VLOOKUP(K733,'2. Buzzi Admin Only'!Q:R,2,0),"")</f>
        <v/>
      </c>
    </row>
    <row r="734" spans="1:15" ht="15.75" customHeight="1" x14ac:dyDescent="0.25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4"/>
      <c r="L734" s="1"/>
      <c r="M734" s="1"/>
      <c r="N734" s="7" t="s">
        <v>16</v>
      </c>
      <c r="O734" s="6" t="str">
        <f>IFERROR(VLOOKUP(K734,'2. Buzzi Admin Only'!Q:R,2,0),"")</f>
        <v/>
      </c>
    </row>
    <row r="735" spans="1:15" ht="15.75" customHeight="1" x14ac:dyDescent="0.25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4"/>
      <c r="L735" s="1"/>
      <c r="M735" s="1"/>
      <c r="N735" s="7" t="s">
        <v>16</v>
      </c>
      <c r="O735" s="6" t="str">
        <f>IFERROR(VLOOKUP(K735,'2. Buzzi Admin Only'!Q:R,2,0),"")</f>
        <v/>
      </c>
    </row>
    <row r="736" spans="1:15" ht="15.75" customHeight="1" x14ac:dyDescent="0.25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4"/>
      <c r="L736" s="1"/>
      <c r="M736" s="1"/>
      <c r="N736" s="7" t="s">
        <v>16</v>
      </c>
      <c r="O736" s="6" t="str">
        <f>IFERROR(VLOOKUP(K736,'2. Buzzi Admin Only'!Q:R,2,0),"")</f>
        <v/>
      </c>
    </row>
    <row r="737" spans="1:15" ht="15.75" customHeight="1" x14ac:dyDescent="0.25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4"/>
      <c r="L737" s="1"/>
      <c r="M737" s="1"/>
      <c r="N737" s="7" t="s">
        <v>16</v>
      </c>
      <c r="O737" s="6" t="str">
        <f>IFERROR(VLOOKUP(K737,'2. Buzzi Admin Only'!Q:R,2,0),"")</f>
        <v/>
      </c>
    </row>
    <row r="738" spans="1:15" ht="15.75" customHeight="1" x14ac:dyDescent="0.25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4"/>
      <c r="L738" s="1"/>
      <c r="M738" s="1"/>
      <c r="N738" s="7" t="s">
        <v>16</v>
      </c>
      <c r="O738" s="6" t="str">
        <f>IFERROR(VLOOKUP(K738,'2. Buzzi Admin Only'!Q:R,2,0),"")</f>
        <v/>
      </c>
    </row>
    <row r="739" spans="1:15" ht="15.75" customHeight="1" x14ac:dyDescent="0.25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4"/>
      <c r="L739" s="1"/>
      <c r="M739" s="1"/>
      <c r="N739" s="7" t="s">
        <v>16</v>
      </c>
      <c r="O739" s="6" t="str">
        <f>IFERROR(VLOOKUP(K739,'2. Buzzi Admin Only'!Q:R,2,0),"")</f>
        <v/>
      </c>
    </row>
    <row r="740" spans="1:15" ht="15.75" customHeight="1" x14ac:dyDescent="0.25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4"/>
      <c r="L740" s="1"/>
      <c r="M740" s="1"/>
      <c r="N740" s="7" t="s">
        <v>16</v>
      </c>
      <c r="O740" s="6" t="str">
        <f>IFERROR(VLOOKUP(K740,'2. Buzzi Admin Only'!Q:R,2,0),"")</f>
        <v/>
      </c>
    </row>
    <row r="741" spans="1:15" ht="15.75" customHeight="1" x14ac:dyDescent="0.25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4"/>
      <c r="L741" s="1"/>
      <c r="M741" s="1"/>
      <c r="N741" s="7" t="s">
        <v>16</v>
      </c>
      <c r="O741" s="6" t="str">
        <f>IFERROR(VLOOKUP(K741,'2. Buzzi Admin Only'!Q:R,2,0),"")</f>
        <v/>
      </c>
    </row>
    <row r="742" spans="1:15" ht="15.75" customHeight="1" x14ac:dyDescent="0.25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4"/>
      <c r="L742" s="1"/>
      <c r="M742" s="1"/>
      <c r="N742" s="7" t="s">
        <v>16</v>
      </c>
      <c r="O742" s="6" t="str">
        <f>IFERROR(VLOOKUP(K742,'2. Buzzi Admin Only'!Q:R,2,0),"")</f>
        <v/>
      </c>
    </row>
    <row r="743" spans="1:15" ht="15.75" customHeight="1" x14ac:dyDescent="0.25">
      <c r="A743" s="1"/>
      <c r="B743" s="1"/>
      <c r="C743" s="1"/>
      <c r="D743" s="2"/>
      <c r="E743" s="1"/>
      <c r="F743" s="1"/>
      <c r="G743" s="1"/>
      <c r="H743" s="1"/>
      <c r="I743" s="1"/>
      <c r="J743" s="1"/>
      <c r="K743" s="4"/>
      <c r="L743" s="1"/>
      <c r="M743" s="1"/>
      <c r="N743" s="7" t="s">
        <v>16</v>
      </c>
      <c r="O743" s="6" t="str">
        <f>IFERROR(VLOOKUP(K743,'2. Buzzi Admin Only'!Q:R,2,0),"")</f>
        <v/>
      </c>
    </row>
    <row r="744" spans="1:15" ht="15.75" customHeight="1" x14ac:dyDescent="0.25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4"/>
      <c r="L744" s="1"/>
      <c r="M744" s="1"/>
      <c r="N744" s="7" t="s">
        <v>16</v>
      </c>
      <c r="O744" s="6" t="str">
        <f>IFERROR(VLOOKUP(K744,'2. Buzzi Admin Only'!Q:R,2,0),"")</f>
        <v/>
      </c>
    </row>
    <row r="745" spans="1:15" ht="15.75" customHeight="1" x14ac:dyDescent="0.25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4"/>
      <c r="L745" s="1"/>
      <c r="M745" s="1"/>
      <c r="N745" s="7" t="s">
        <v>16</v>
      </c>
      <c r="O745" s="6" t="str">
        <f>IFERROR(VLOOKUP(K745,'2. Buzzi Admin Only'!Q:R,2,0),"")</f>
        <v/>
      </c>
    </row>
    <row r="746" spans="1:15" ht="15.75" customHeight="1" x14ac:dyDescent="0.25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4"/>
      <c r="L746" s="1"/>
      <c r="M746" s="1"/>
      <c r="N746" s="7" t="s">
        <v>16</v>
      </c>
      <c r="O746" s="6" t="str">
        <f>IFERROR(VLOOKUP(K746,'2. Buzzi Admin Only'!Q:R,2,0),"")</f>
        <v/>
      </c>
    </row>
    <row r="747" spans="1:15" ht="15.75" customHeight="1" x14ac:dyDescent="0.25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4"/>
      <c r="L747" s="1"/>
      <c r="M747" s="1"/>
      <c r="N747" s="7" t="s">
        <v>16</v>
      </c>
      <c r="O747" s="6" t="str">
        <f>IFERROR(VLOOKUP(K747,'2. Buzzi Admin Only'!Q:R,2,0),"")</f>
        <v/>
      </c>
    </row>
    <row r="748" spans="1:15" ht="15.75" customHeight="1" x14ac:dyDescent="0.25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4"/>
      <c r="L748" s="1"/>
      <c r="M748" s="1"/>
      <c r="N748" s="7" t="s">
        <v>16</v>
      </c>
      <c r="O748" s="6" t="str">
        <f>IFERROR(VLOOKUP(K748,'2. Buzzi Admin Only'!Q:R,2,0),"")</f>
        <v/>
      </c>
    </row>
    <row r="749" spans="1:15" ht="15.75" customHeight="1" x14ac:dyDescent="0.25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4"/>
      <c r="L749" s="1"/>
      <c r="M749" s="1"/>
      <c r="N749" s="7" t="s">
        <v>16</v>
      </c>
      <c r="O749" s="6" t="str">
        <f>IFERROR(VLOOKUP(K749,'2. Buzzi Admin Only'!Q:R,2,0),"")</f>
        <v/>
      </c>
    </row>
    <row r="750" spans="1:15" ht="15.75" customHeight="1" x14ac:dyDescent="0.25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4"/>
      <c r="L750" s="1"/>
      <c r="M750" s="1"/>
      <c r="N750" s="7" t="s">
        <v>16</v>
      </c>
      <c r="O750" s="6" t="str">
        <f>IFERROR(VLOOKUP(K750,'2. Buzzi Admin Only'!Q:R,2,0),"")</f>
        <v/>
      </c>
    </row>
    <row r="751" spans="1:15" ht="15.75" customHeight="1" x14ac:dyDescent="0.25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4"/>
      <c r="L751" s="1"/>
      <c r="M751" s="1"/>
      <c r="N751" s="7" t="s">
        <v>16</v>
      </c>
      <c r="O751" s="6" t="str">
        <f>IFERROR(VLOOKUP(K751,'2. Buzzi Admin Only'!Q:R,2,0),"")</f>
        <v/>
      </c>
    </row>
    <row r="752" spans="1:15" ht="15.75" customHeight="1" x14ac:dyDescent="0.25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4"/>
      <c r="L752" s="1"/>
      <c r="M752" s="1"/>
      <c r="N752" s="7" t="s">
        <v>16</v>
      </c>
      <c r="O752" s="6" t="str">
        <f>IFERROR(VLOOKUP(K752,'2. Buzzi Admin Only'!Q:R,2,0),"")</f>
        <v/>
      </c>
    </row>
    <row r="753" spans="1:15" ht="15.75" customHeight="1" x14ac:dyDescent="0.25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4"/>
      <c r="L753" s="1"/>
      <c r="M753" s="1"/>
      <c r="N753" s="7" t="s">
        <v>16</v>
      </c>
      <c r="O753" s="6" t="str">
        <f>IFERROR(VLOOKUP(K753,'2. Buzzi Admin Only'!Q:R,2,0),"")</f>
        <v/>
      </c>
    </row>
    <row r="754" spans="1:15" ht="15.75" customHeight="1" x14ac:dyDescent="0.25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4"/>
      <c r="L754" s="1"/>
      <c r="M754" s="1"/>
      <c r="N754" s="7" t="s">
        <v>16</v>
      </c>
      <c r="O754" s="6" t="str">
        <f>IFERROR(VLOOKUP(K754,'2. Buzzi Admin Only'!Q:R,2,0),"")</f>
        <v/>
      </c>
    </row>
    <row r="755" spans="1:15" ht="15.75" customHeight="1" x14ac:dyDescent="0.25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4"/>
      <c r="L755" s="1"/>
      <c r="M755" s="1"/>
      <c r="N755" s="7" t="s">
        <v>16</v>
      </c>
      <c r="O755" s="6" t="str">
        <f>IFERROR(VLOOKUP(K755,'2. Buzzi Admin Only'!Q:R,2,0),"")</f>
        <v/>
      </c>
    </row>
    <row r="756" spans="1:15" ht="15.75" customHeight="1" x14ac:dyDescent="0.25">
      <c r="A756" s="1"/>
      <c r="B756" s="1"/>
      <c r="C756" s="1"/>
      <c r="D756" s="2"/>
      <c r="E756" s="1"/>
      <c r="F756" s="1"/>
      <c r="G756" s="1"/>
      <c r="H756" s="1"/>
      <c r="I756" s="1"/>
      <c r="J756" s="1"/>
      <c r="K756" s="4"/>
      <c r="L756" s="1"/>
      <c r="M756" s="1"/>
      <c r="N756" s="7" t="s">
        <v>16</v>
      </c>
      <c r="O756" s="6" t="str">
        <f>IFERROR(VLOOKUP(K756,'2. Buzzi Admin Only'!Q:R,2,0),"")</f>
        <v/>
      </c>
    </row>
    <row r="757" spans="1:15" ht="15.75" customHeight="1" x14ac:dyDescent="0.25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4"/>
      <c r="L757" s="1"/>
      <c r="M757" s="1"/>
      <c r="N757" s="7" t="s">
        <v>16</v>
      </c>
      <c r="O757" s="6" t="str">
        <f>IFERROR(VLOOKUP(K757,'2. Buzzi Admin Only'!Q:R,2,0),"")</f>
        <v/>
      </c>
    </row>
    <row r="758" spans="1:15" ht="15.75" customHeight="1" x14ac:dyDescent="0.25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4"/>
      <c r="L758" s="1"/>
      <c r="M758" s="1"/>
      <c r="N758" s="7" t="s">
        <v>16</v>
      </c>
      <c r="O758" s="6" t="str">
        <f>IFERROR(VLOOKUP(K758,'2. Buzzi Admin Only'!Q:R,2,0),"")</f>
        <v/>
      </c>
    </row>
    <row r="759" spans="1:15" ht="15.75" customHeight="1" x14ac:dyDescent="0.25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4"/>
      <c r="L759" s="1"/>
      <c r="M759" s="1"/>
      <c r="N759" s="7" t="s">
        <v>16</v>
      </c>
      <c r="O759" s="6" t="str">
        <f>IFERROR(VLOOKUP(K759,'2. Buzzi Admin Only'!Q:R,2,0),"")</f>
        <v/>
      </c>
    </row>
    <row r="760" spans="1:15" ht="15.75" customHeight="1" x14ac:dyDescent="0.25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4"/>
      <c r="L760" s="1"/>
      <c r="M760" s="1"/>
      <c r="N760" s="7" t="s">
        <v>16</v>
      </c>
      <c r="O760" s="6" t="str">
        <f>IFERROR(VLOOKUP(K760,'2. Buzzi Admin Only'!Q:R,2,0),"")</f>
        <v/>
      </c>
    </row>
    <row r="761" spans="1:15" ht="15.75" customHeight="1" x14ac:dyDescent="0.25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4"/>
      <c r="L761" s="1"/>
      <c r="M761" s="1"/>
      <c r="N761" s="7" t="s">
        <v>16</v>
      </c>
      <c r="O761" s="6" t="str">
        <f>IFERROR(VLOOKUP(K761,'2. Buzzi Admin Only'!Q:R,2,0),"")</f>
        <v/>
      </c>
    </row>
    <row r="762" spans="1:15" ht="15.75" customHeight="1" x14ac:dyDescent="0.25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4"/>
      <c r="L762" s="1"/>
      <c r="M762" s="1"/>
      <c r="N762" s="7" t="s">
        <v>16</v>
      </c>
      <c r="O762" s="6" t="str">
        <f>IFERROR(VLOOKUP(K762,'2. Buzzi Admin Only'!Q:R,2,0),"")</f>
        <v/>
      </c>
    </row>
    <row r="763" spans="1:15" ht="15.75" customHeight="1" x14ac:dyDescent="0.25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4"/>
      <c r="L763" s="1"/>
      <c r="M763" s="1"/>
      <c r="N763" s="7" t="s">
        <v>16</v>
      </c>
      <c r="O763" s="6" t="str">
        <f>IFERROR(VLOOKUP(K763,'2. Buzzi Admin Only'!Q:R,2,0),"")</f>
        <v/>
      </c>
    </row>
    <row r="764" spans="1:15" ht="15.75" customHeight="1" x14ac:dyDescent="0.25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4"/>
      <c r="L764" s="1"/>
      <c r="M764" s="1"/>
      <c r="N764" s="7" t="s">
        <v>16</v>
      </c>
      <c r="O764" s="6" t="str">
        <f>IFERROR(VLOOKUP(K764,'2. Buzzi Admin Only'!Q:R,2,0),"")</f>
        <v/>
      </c>
    </row>
    <row r="765" spans="1:15" ht="15.75" customHeight="1" x14ac:dyDescent="0.25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4"/>
      <c r="L765" s="1"/>
      <c r="M765" s="1"/>
      <c r="N765" s="7" t="s">
        <v>16</v>
      </c>
      <c r="O765" s="6" t="str">
        <f>IFERROR(VLOOKUP(K765,'2. Buzzi Admin Only'!Q:R,2,0),"")</f>
        <v/>
      </c>
    </row>
    <row r="766" spans="1:15" ht="15.75" customHeight="1" x14ac:dyDescent="0.25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4"/>
      <c r="L766" s="1"/>
      <c r="M766" s="1"/>
      <c r="N766" s="7" t="s">
        <v>16</v>
      </c>
      <c r="O766" s="6" t="str">
        <f>IFERROR(VLOOKUP(K766,'2. Buzzi Admin Only'!Q:R,2,0),"")</f>
        <v/>
      </c>
    </row>
    <row r="767" spans="1:15" ht="15.75" customHeight="1" x14ac:dyDescent="0.25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4"/>
      <c r="L767" s="1"/>
      <c r="M767" s="1"/>
      <c r="N767" s="7" t="s">
        <v>16</v>
      </c>
      <c r="O767" s="6" t="str">
        <f>IFERROR(VLOOKUP(K767,'2. Buzzi Admin Only'!Q:R,2,0),"")</f>
        <v/>
      </c>
    </row>
    <row r="768" spans="1:15" ht="15.75" customHeight="1" x14ac:dyDescent="0.25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4"/>
      <c r="L768" s="1"/>
      <c r="M768" s="1"/>
      <c r="N768" s="7" t="s">
        <v>16</v>
      </c>
      <c r="O768" s="6" t="str">
        <f>IFERROR(VLOOKUP(K768,'2. Buzzi Admin Only'!Q:R,2,0),"")</f>
        <v/>
      </c>
    </row>
    <row r="769" spans="1:15" ht="15.75" customHeight="1" x14ac:dyDescent="0.25">
      <c r="A769" s="1"/>
      <c r="B769" s="1"/>
      <c r="C769" s="1"/>
      <c r="D769" s="2"/>
      <c r="E769" s="1"/>
      <c r="F769" s="1"/>
      <c r="G769" s="1"/>
      <c r="H769" s="1"/>
      <c r="I769" s="1"/>
      <c r="J769" s="1"/>
      <c r="K769" s="4"/>
      <c r="L769" s="1"/>
      <c r="M769" s="1"/>
      <c r="N769" s="7" t="s">
        <v>16</v>
      </c>
      <c r="O769" s="6" t="str">
        <f>IFERROR(VLOOKUP(K769,'2. Buzzi Admin Only'!Q:R,2,0),"")</f>
        <v/>
      </c>
    </row>
    <row r="770" spans="1:15" ht="15.75" customHeight="1" x14ac:dyDescent="0.25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4"/>
      <c r="L770" s="1"/>
      <c r="M770" s="1"/>
      <c r="N770" s="7" t="s">
        <v>16</v>
      </c>
      <c r="O770" s="6" t="str">
        <f>IFERROR(VLOOKUP(K770,'2. Buzzi Admin Only'!Q:R,2,0),"")</f>
        <v/>
      </c>
    </row>
    <row r="771" spans="1:15" ht="15.75" customHeight="1" x14ac:dyDescent="0.25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4"/>
      <c r="L771" s="1"/>
      <c r="M771" s="1"/>
      <c r="N771" s="7" t="s">
        <v>16</v>
      </c>
      <c r="O771" s="6" t="str">
        <f>IFERROR(VLOOKUP(K771,'2. Buzzi Admin Only'!Q:R,2,0),"")</f>
        <v/>
      </c>
    </row>
    <row r="772" spans="1:15" ht="15.75" customHeight="1" x14ac:dyDescent="0.25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4"/>
      <c r="L772" s="1"/>
      <c r="M772" s="1"/>
      <c r="N772" s="7" t="s">
        <v>16</v>
      </c>
      <c r="O772" s="6" t="str">
        <f>IFERROR(VLOOKUP(K772,'2. Buzzi Admin Only'!Q:R,2,0),"")</f>
        <v/>
      </c>
    </row>
    <row r="773" spans="1:15" ht="15.75" customHeight="1" x14ac:dyDescent="0.25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4"/>
      <c r="L773" s="1"/>
      <c r="M773" s="1"/>
      <c r="N773" s="7" t="s">
        <v>16</v>
      </c>
      <c r="O773" s="6" t="str">
        <f>IFERROR(VLOOKUP(K773,'2. Buzzi Admin Only'!Q:R,2,0),"")</f>
        <v/>
      </c>
    </row>
    <row r="774" spans="1:15" ht="15.75" customHeight="1" x14ac:dyDescent="0.25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4"/>
      <c r="L774" s="1"/>
      <c r="M774" s="1"/>
      <c r="N774" s="7" t="s">
        <v>16</v>
      </c>
      <c r="O774" s="6" t="str">
        <f>IFERROR(VLOOKUP(K774,'2. Buzzi Admin Only'!Q:R,2,0),"")</f>
        <v/>
      </c>
    </row>
    <row r="775" spans="1:15" ht="15.75" customHeight="1" x14ac:dyDescent="0.25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4"/>
      <c r="L775" s="1"/>
      <c r="M775" s="1"/>
      <c r="N775" s="7" t="s">
        <v>16</v>
      </c>
      <c r="O775" s="6" t="str">
        <f>IFERROR(VLOOKUP(K775,'2. Buzzi Admin Only'!Q:R,2,0),"")</f>
        <v/>
      </c>
    </row>
    <row r="776" spans="1:15" ht="15.75" customHeight="1" x14ac:dyDescent="0.25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4"/>
      <c r="L776" s="1"/>
      <c r="M776" s="1"/>
      <c r="N776" s="7" t="s">
        <v>16</v>
      </c>
      <c r="O776" s="6" t="str">
        <f>IFERROR(VLOOKUP(K776,'2. Buzzi Admin Only'!Q:R,2,0),"")</f>
        <v/>
      </c>
    </row>
    <row r="777" spans="1:15" ht="15.75" customHeight="1" x14ac:dyDescent="0.25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4"/>
      <c r="L777" s="1"/>
      <c r="M777" s="1"/>
      <c r="N777" s="7" t="s">
        <v>16</v>
      </c>
      <c r="O777" s="6" t="str">
        <f>IFERROR(VLOOKUP(K777,'2. Buzzi Admin Only'!Q:R,2,0),"")</f>
        <v/>
      </c>
    </row>
    <row r="778" spans="1:15" ht="15.75" customHeight="1" x14ac:dyDescent="0.25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4"/>
      <c r="L778" s="1"/>
      <c r="M778" s="1"/>
      <c r="N778" s="7" t="s">
        <v>16</v>
      </c>
      <c r="O778" s="6" t="str">
        <f>IFERROR(VLOOKUP(K778,'2. Buzzi Admin Only'!Q:R,2,0),"")</f>
        <v/>
      </c>
    </row>
    <row r="779" spans="1:15" ht="15.75" customHeight="1" x14ac:dyDescent="0.25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4"/>
      <c r="L779" s="1"/>
      <c r="M779" s="1"/>
      <c r="N779" s="7" t="s">
        <v>16</v>
      </c>
      <c r="O779" s="6" t="str">
        <f>IFERROR(VLOOKUP(K779,'2. Buzzi Admin Only'!Q:R,2,0),"")</f>
        <v/>
      </c>
    </row>
    <row r="780" spans="1:15" ht="15.75" customHeight="1" x14ac:dyDescent="0.25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4"/>
      <c r="L780" s="1"/>
      <c r="M780" s="1"/>
      <c r="N780" s="7" t="s">
        <v>16</v>
      </c>
      <c r="O780" s="6" t="str">
        <f>IFERROR(VLOOKUP(K780,'2. Buzzi Admin Only'!Q:R,2,0),"")</f>
        <v/>
      </c>
    </row>
    <row r="781" spans="1:15" ht="15.75" customHeight="1" x14ac:dyDescent="0.25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4"/>
      <c r="L781" s="1"/>
      <c r="M781" s="1"/>
      <c r="N781" s="7" t="s">
        <v>16</v>
      </c>
      <c r="O781" s="6" t="str">
        <f>IFERROR(VLOOKUP(K781,'2. Buzzi Admin Only'!Q:R,2,0),"")</f>
        <v/>
      </c>
    </row>
    <row r="782" spans="1:15" ht="15.75" customHeight="1" x14ac:dyDescent="0.25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4"/>
      <c r="L782" s="1"/>
      <c r="M782" s="1"/>
      <c r="N782" s="7" t="s">
        <v>16</v>
      </c>
      <c r="O782" s="6" t="str">
        <f>IFERROR(VLOOKUP(K782,'2. Buzzi Admin Only'!Q:R,2,0),"")</f>
        <v/>
      </c>
    </row>
    <row r="783" spans="1:15" ht="15.75" customHeight="1" x14ac:dyDescent="0.25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4"/>
      <c r="L783" s="1"/>
      <c r="M783" s="1"/>
      <c r="N783" s="7" t="s">
        <v>16</v>
      </c>
      <c r="O783" s="6" t="str">
        <f>IFERROR(VLOOKUP(K783,'2. Buzzi Admin Only'!Q:R,2,0),"")</f>
        <v/>
      </c>
    </row>
    <row r="784" spans="1:15" ht="15.75" customHeight="1" x14ac:dyDescent="0.25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4"/>
      <c r="L784" s="1"/>
      <c r="M784" s="1"/>
      <c r="N784" s="7" t="s">
        <v>16</v>
      </c>
      <c r="O784" s="6" t="str">
        <f>IFERROR(VLOOKUP(K784,'2. Buzzi Admin Only'!Q:R,2,0),"")</f>
        <v/>
      </c>
    </row>
    <row r="785" spans="1:15" ht="15.75" customHeight="1" x14ac:dyDescent="0.25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4"/>
      <c r="L785" s="1"/>
      <c r="M785" s="1"/>
      <c r="N785" s="7" t="s">
        <v>16</v>
      </c>
      <c r="O785" s="6" t="str">
        <f>IFERROR(VLOOKUP(K785,'2. Buzzi Admin Only'!Q:R,2,0),"")</f>
        <v/>
      </c>
    </row>
    <row r="786" spans="1:15" ht="15.75" customHeight="1" x14ac:dyDescent="0.25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4"/>
      <c r="L786" s="1"/>
      <c r="M786" s="1"/>
      <c r="N786" s="7" t="s">
        <v>16</v>
      </c>
      <c r="O786" s="6" t="str">
        <f>IFERROR(VLOOKUP(K786,'2. Buzzi Admin Only'!Q:R,2,0),"")</f>
        <v/>
      </c>
    </row>
    <row r="787" spans="1:15" ht="15.75" customHeight="1" x14ac:dyDescent="0.25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4"/>
      <c r="L787" s="1"/>
      <c r="M787" s="1"/>
      <c r="N787" s="7" t="s">
        <v>16</v>
      </c>
      <c r="O787" s="6" t="str">
        <f>IFERROR(VLOOKUP(K787,'2. Buzzi Admin Only'!Q:R,2,0),"")</f>
        <v/>
      </c>
    </row>
    <row r="788" spans="1:15" ht="15.75" customHeight="1" x14ac:dyDescent="0.25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4"/>
      <c r="L788" s="1"/>
      <c r="M788" s="1"/>
      <c r="N788" s="7" t="s">
        <v>16</v>
      </c>
      <c r="O788" s="6" t="str">
        <f>IFERROR(VLOOKUP(K788,'2. Buzzi Admin Only'!Q:R,2,0),"")</f>
        <v/>
      </c>
    </row>
    <row r="789" spans="1:15" ht="15.75" customHeight="1" x14ac:dyDescent="0.25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4"/>
      <c r="L789" s="1"/>
      <c r="M789" s="1"/>
      <c r="N789" s="7" t="s">
        <v>16</v>
      </c>
      <c r="O789" s="6" t="str">
        <f>IFERROR(VLOOKUP(K789,'2. Buzzi Admin Only'!Q:R,2,0),"")</f>
        <v/>
      </c>
    </row>
    <row r="790" spans="1:15" ht="15.75" customHeight="1" x14ac:dyDescent="0.25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4"/>
      <c r="L790" s="1"/>
      <c r="M790" s="1"/>
      <c r="N790" s="7" t="s">
        <v>16</v>
      </c>
      <c r="O790" s="6" t="str">
        <f>IFERROR(VLOOKUP(K790,'2. Buzzi Admin Only'!Q:R,2,0),"")</f>
        <v/>
      </c>
    </row>
    <row r="791" spans="1:15" ht="15.75" customHeight="1" x14ac:dyDescent="0.25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4"/>
      <c r="L791" s="1"/>
      <c r="M791" s="1"/>
      <c r="N791" s="7" t="s">
        <v>16</v>
      </c>
      <c r="O791" s="6" t="str">
        <f>IFERROR(VLOOKUP(K791,'2. Buzzi Admin Only'!Q:R,2,0),"")</f>
        <v/>
      </c>
    </row>
    <row r="792" spans="1:15" ht="15.75" customHeight="1" x14ac:dyDescent="0.25">
      <c r="A792" s="1"/>
      <c r="B792" s="1"/>
      <c r="C792" s="1"/>
      <c r="D792" s="2"/>
      <c r="E792" s="1"/>
      <c r="F792" s="1"/>
      <c r="G792" s="1"/>
      <c r="H792" s="1"/>
      <c r="I792" s="1"/>
      <c r="J792" s="1"/>
      <c r="K792" s="4"/>
      <c r="L792" s="1"/>
      <c r="M792" s="1"/>
      <c r="N792" s="7" t="s">
        <v>16</v>
      </c>
      <c r="O792" s="6" t="str">
        <f>IFERROR(VLOOKUP(K792,'2. Buzzi Admin Only'!Q:R,2,0),"")</f>
        <v/>
      </c>
    </row>
    <row r="793" spans="1:15" ht="15.75" customHeight="1" x14ac:dyDescent="0.25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4"/>
      <c r="L793" s="1"/>
      <c r="M793" s="1"/>
      <c r="N793" s="7" t="s">
        <v>16</v>
      </c>
      <c r="O793" s="6" t="str">
        <f>IFERROR(VLOOKUP(K793,'2. Buzzi Admin Only'!Q:R,2,0),"")</f>
        <v/>
      </c>
    </row>
    <row r="794" spans="1:15" ht="15.75" customHeight="1" x14ac:dyDescent="0.25">
      <c r="A794" s="1"/>
      <c r="B794" s="1"/>
      <c r="C794" s="1"/>
      <c r="D794" s="2"/>
      <c r="E794" s="1"/>
      <c r="F794" s="1"/>
      <c r="G794" s="1"/>
      <c r="H794" s="1"/>
      <c r="I794" s="1"/>
      <c r="J794" s="1"/>
      <c r="K794" s="4"/>
      <c r="L794" s="1"/>
      <c r="M794" s="1"/>
      <c r="N794" s="7" t="s">
        <v>16</v>
      </c>
      <c r="O794" s="6" t="str">
        <f>IFERROR(VLOOKUP(K794,'2. Buzzi Admin Only'!Q:R,2,0),"")</f>
        <v/>
      </c>
    </row>
    <row r="795" spans="1:15" ht="15.75" customHeight="1" x14ac:dyDescent="0.25">
      <c r="A795" s="1"/>
      <c r="B795" s="1"/>
      <c r="C795" s="1"/>
      <c r="D795" s="2"/>
      <c r="E795" s="1"/>
      <c r="F795" s="1"/>
      <c r="G795" s="1"/>
      <c r="H795" s="1"/>
      <c r="I795" s="1"/>
      <c r="J795" s="1"/>
      <c r="K795" s="4"/>
      <c r="L795" s="1"/>
      <c r="M795" s="1"/>
      <c r="N795" s="7" t="s">
        <v>16</v>
      </c>
      <c r="O795" s="6" t="str">
        <f>IFERROR(VLOOKUP(K795,'2. Buzzi Admin Only'!Q:R,2,0),"")</f>
        <v/>
      </c>
    </row>
    <row r="796" spans="1:15" ht="15.75" customHeight="1" x14ac:dyDescent="0.25">
      <c r="A796" s="1"/>
      <c r="B796" s="1"/>
      <c r="C796" s="1"/>
      <c r="D796" s="2"/>
      <c r="E796" s="1"/>
      <c r="F796" s="1"/>
      <c r="G796" s="1"/>
      <c r="H796" s="1"/>
      <c r="I796" s="1"/>
      <c r="J796" s="1"/>
      <c r="K796" s="4"/>
      <c r="L796" s="1"/>
      <c r="M796" s="1"/>
      <c r="N796" s="7" t="s">
        <v>16</v>
      </c>
      <c r="O796" s="6" t="str">
        <f>IFERROR(VLOOKUP(K796,'2. Buzzi Admin Only'!Q:R,2,0),"")</f>
        <v/>
      </c>
    </row>
    <row r="797" spans="1:15" ht="15.75" customHeight="1" x14ac:dyDescent="0.25">
      <c r="A797" s="1"/>
      <c r="B797" s="1"/>
      <c r="C797" s="1"/>
      <c r="D797" s="2"/>
      <c r="E797" s="1"/>
      <c r="F797" s="1"/>
      <c r="G797" s="1"/>
      <c r="H797" s="1"/>
      <c r="I797" s="1"/>
      <c r="J797" s="1"/>
      <c r="K797" s="4"/>
      <c r="L797" s="1"/>
      <c r="M797" s="1"/>
      <c r="N797" s="7" t="s">
        <v>16</v>
      </c>
      <c r="O797" s="6" t="str">
        <f>IFERROR(VLOOKUP(K797,'2. Buzzi Admin Only'!Q:R,2,0),"")</f>
        <v/>
      </c>
    </row>
    <row r="798" spans="1:15" ht="15.75" customHeight="1" x14ac:dyDescent="0.25">
      <c r="A798" s="1"/>
      <c r="B798" s="1"/>
      <c r="C798" s="1"/>
      <c r="D798" s="2"/>
      <c r="E798" s="1"/>
      <c r="F798" s="1"/>
      <c r="G798" s="1"/>
      <c r="H798" s="1"/>
      <c r="I798" s="1"/>
      <c r="J798" s="1"/>
      <c r="K798" s="4"/>
      <c r="L798" s="1"/>
      <c r="M798" s="1"/>
      <c r="N798" s="7" t="s">
        <v>16</v>
      </c>
      <c r="O798" s="6" t="str">
        <f>IFERROR(VLOOKUP(K798,'2. Buzzi Admin Only'!Q:R,2,0),"")</f>
        <v/>
      </c>
    </row>
    <row r="799" spans="1:15" ht="15.75" customHeight="1" x14ac:dyDescent="0.25">
      <c r="A799" s="1"/>
      <c r="B799" s="1"/>
      <c r="C799" s="1"/>
      <c r="D799" s="2"/>
      <c r="E799" s="1"/>
      <c r="F799" s="1"/>
      <c r="G799" s="1"/>
      <c r="H799" s="1"/>
      <c r="I799" s="1"/>
      <c r="J799" s="1"/>
      <c r="K799" s="4"/>
      <c r="L799" s="1"/>
      <c r="M799" s="1"/>
      <c r="N799" s="7" t="s">
        <v>16</v>
      </c>
      <c r="O799" s="6" t="str">
        <f>IFERROR(VLOOKUP(K799,'2. Buzzi Admin Only'!Q:R,2,0),"")</f>
        <v/>
      </c>
    </row>
    <row r="800" spans="1:15" ht="15.75" customHeight="1" x14ac:dyDescent="0.25">
      <c r="A800" s="1"/>
      <c r="B800" s="1"/>
      <c r="C800" s="1"/>
      <c r="D800" s="2"/>
      <c r="E800" s="1"/>
      <c r="F800" s="1"/>
      <c r="G800" s="1"/>
      <c r="H800" s="1"/>
      <c r="I800" s="1"/>
      <c r="J800" s="1"/>
      <c r="K800" s="4"/>
      <c r="L800" s="1"/>
      <c r="M800" s="1"/>
      <c r="N800" s="7" t="s">
        <v>16</v>
      </c>
      <c r="O800" s="6" t="str">
        <f>IFERROR(VLOOKUP(K800,'2. Buzzi Admin Only'!Q:R,2,0),"")</f>
        <v/>
      </c>
    </row>
    <row r="801" spans="1:15" ht="15.75" customHeight="1" x14ac:dyDescent="0.25">
      <c r="A801" s="1"/>
      <c r="B801" s="1"/>
      <c r="C801" s="1"/>
      <c r="D801" s="2"/>
      <c r="E801" s="1"/>
      <c r="F801" s="1"/>
      <c r="G801" s="1"/>
      <c r="H801" s="1"/>
      <c r="I801" s="1"/>
      <c r="J801" s="1"/>
      <c r="K801" s="4"/>
      <c r="L801" s="1"/>
      <c r="M801" s="1"/>
      <c r="N801" s="7" t="s">
        <v>16</v>
      </c>
      <c r="O801" s="6" t="str">
        <f>IFERROR(VLOOKUP(K801,'2. Buzzi Admin Only'!Q:R,2,0),"")</f>
        <v/>
      </c>
    </row>
    <row r="802" spans="1:15" ht="15.75" customHeight="1" x14ac:dyDescent="0.25">
      <c r="A802" s="1"/>
      <c r="B802" s="1"/>
      <c r="C802" s="1"/>
      <c r="D802" s="2"/>
      <c r="E802" s="1"/>
      <c r="F802" s="1"/>
      <c r="G802" s="1"/>
      <c r="H802" s="1"/>
      <c r="I802" s="1"/>
      <c r="J802" s="1"/>
      <c r="K802" s="4"/>
      <c r="L802" s="1"/>
      <c r="M802" s="1"/>
      <c r="N802" s="7" t="s">
        <v>16</v>
      </c>
      <c r="O802" s="6" t="str">
        <f>IFERROR(VLOOKUP(K802,'2. Buzzi Admin Only'!Q:R,2,0),"")</f>
        <v/>
      </c>
    </row>
    <row r="803" spans="1:15" ht="15.75" customHeight="1" x14ac:dyDescent="0.25">
      <c r="A803" s="1"/>
      <c r="B803" s="1"/>
      <c r="C803" s="1"/>
      <c r="D803" s="2"/>
      <c r="E803" s="1"/>
      <c r="F803" s="1"/>
      <c r="G803" s="1"/>
      <c r="H803" s="1"/>
      <c r="I803" s="1"/>
      <c r="J803" s="1"/>
      <c r="K803" s="4"/>
      <c r="L803" s="1"/>
      <c r="M803" s="1"/>
      <c r="N803" s="7" t="s">
        <v>16</v>
      </c>
      <c r="O803" s="6" t="str">
        <f>IFERROR(VLOOKUP(K803,'2. Buzzi Admin Only'!Q:R,2,0),"")</f>
        <v/>
      </c>
    </row>
    <row r="804" spans="1:15" ht="15.75" customHeight="1" x14ac:dyDescent="0.25">
      <c r="A804" s="1"/>
      <c r="B804" s="1"/>
      <c r="C804" s="1"/>
      <c r="D804" s="2"/>
      <c r="E804" s="1"/>
      <c r="F804" s="1"/>
      <c r="G804" s="1"/>
      <c r="H804" s="1"/>
      <c r="I804" s="1"/>
      <c r="J804" s="1"/>
      <c r="K804" s="4"/>
      <c r="L804" s="1"/>
      <c r="M804" s="1"/>
      <c r="N804" s="7" t="s">
        <v>16</v>
      </c>
      <c r="O804" s="6" t="str">
        <f>IFERROR(VLOOKUP(K804,'2. Buzzi Admin Only'!Q:R,2,0),"")</f>
        <v/>
      </c>
    </row>
    <row r="805" spans="1:15" ht="15.75" customHeight="1" x14ac:dyDescent="0.25">
      <c r="A805" s="1"/>
      <c r="B805" s="1"/>
      <c r="C805" s="1"/>
      <c r="D805" s="2"/>
      <c r="E805" s="1"/>
      <c r="F805" s="1"/>
      <c r="G805" s="1"/>
      <c r="H805" s="1"/>
      <c r="I805" s="1"/>
      <c r="J805" s="1"/>
      <c r="K805" s="4"/>
      <c r="L805" s="1"/>
      <c r="M805" s="1"/>
      <c r="N805" s="7" t="s">
        <v>16</v>
      </c>
      <c r="O805" s="6" t="str">
        <f>IFERROR(VLOOKUP(K805,'2. Buzzi Admin Only'!Q:R,2,0),"")</f>
        <v/>
      </c>
    </row>
    <row r="806" spans="1:15" ht="15.75" customHeight="1" x14ac:dyDescent="0.25">
      <c r="A806" s="1"/>
      <c r="B806" s="1"/>
      <c r="C806" s="1"/>
      <c r="D806" s="2"/>
      <c r="E806" s="1"/>
      <c r="F806" s="1"/>
      <c r="G806" s="1"/>
      <c r="H806" s="1"/>
      <c r="I806" s="1"/>
      <c r="J806" s="1"/>
      <c r="K806" s="4"/>
      <c r="L806" s="1"/>
      <c r="M806" s="1"/>
      <c r="N806" s="7" t="s">
        <v>16</v>
      </c>
      <c r="O806" s="6" t="str">
        <f>IFERROR(VLOOKUP(K806,'2. Buzzi Admin Only'!Q:R,2,0),"")</f>
        <v/>
      </c>
    </row>
    <row r="807" spans="1:15" ht="15.75" customHeight="1" x14ac:dyDescent="0.25">
      <c r="A807" s="1"/>
      <c r="B807" s="1"/>
      <c r="C807" s="1"/>
      <c r="D807" s="2"/>
      <c r="E807" s="1"/>
      <c r="F807" s="1"/>
      <c r="G807" s="1"/>
      <c r="H807" s="1"/>
      <c r="I807" s="1"/>
      <c r="J807" s="1"/>
      <c r="K807" s="4"/>
      <c r="L807" s="1"/>
      <c r="M807" s="1"/>
      <c r="N807" s="7" t="s">
        <v>16</v>
      </c>
      <c r="O807" s="6" t="str">
        <f>IFERROR(VLOOKUP(K807,'2. Buzzi Admin Only'!Q:R,2,0),"")</f>
        <v/>
      </c>
    </row>
    <row r="808" spans="1:15" ht="15.75" customHeight="1" x14ac:dyDescent="0.25">
      <c r="A808" s="1"/>
      <c r="B808" s="1"/>
      <c r="C808" s="1"/>
      <c r="D808" s="2"/>
      <c r="E808" s="1"/>
      <c r="F808" s="1"/>
      <c r="G808" s="1"/>
      <c r="H808" s="1"/>
      <c r="I808" s="1"/>
      <c r="J808" s="1"/>
      <c r="K808" s="4"/>
      <c r="L808" s="1"/>
      <c r="M808" s="1"/>
      <c r="N808" s="7" t="s">
        <v>16</v>
      </c>
      <c r="O808" s="6" t="str">
        <f>IFERROR(VLOOKUP(K808,'2. Buzzi Admin Only'!Q:R,2,0),"")</f>
        <v/>
      </c>
    </row>
    <row r="809" spans="1:15" ht="15.75" customHeight="1" x14ac:dyDescent="0.25">
      <c r="A809" s="1"/>
      <c r="B809" s="1"/>
      <c r="C809" s="1"/>
      <c r="D809" s="2"/>
      <c r="E809" s="1"/>
      <c r="F809" s="1"/>
      <c r="G809" s="1"/>
      <c r="H809" s="1"/>
      <c r="I809" s="1"/>
      <c r="J809" s="1"/>
      <c r="K809" s="4"/>
      <c r="L809" s="1"/>
      <c r="M809" s="1"/>
      <c r="N809" s="7" t="s">
        <v>16</v>
      </c>
      <c r="O809" s="6" t="str">
        <f>IFERROR(VLOOKUP(K809,'2. Buzzi Admin Only'!Q:R,2,0),"")</f>
        <v/>
      </c>
    </row>
    <row r="810" spans="1:15" ht="15.75" customHeight="1" x14ac:dyDescent="0.25">
      <c r="A810" s="1"/>
      <c r="B810" s="1"/>
      <c r="C810" s="1"/>
      <c r="D810" s="2"/>
      <c r="E810" s="1"/>
      <c r="F810" s="1"/>
      <c r="G810" s="1"/>
      <c r="H810" s="1"/>
      <c r="I810" s="1"/>
      <c r="J810" s="1"/>
      <c r="K810" s="4"/>
      <c r="L810" s="1"/>
      <c r="M810" s="1"/>
      <c r="N810" s="7" t="s">
        <v>16</v>
      </c>
      <c r="O810" s="6" t="str">
        <f>IFERROR(VLOOKUP(K810,'2. Buzzi Admin Only'!Q:R,2,0),"")</f>
        <v/>
      </c>
    </row>
    <row r="811" spans="1:15" ht="15.75" customHeight="1" x14ac:dyDescent="0.25">
      <c r="N811" s="7" t="s">
        <v>16</v>
      </c>
      <c r="O811" s="6" t="str">
        <f>IFERROR(VLOOKUP(K811,'2. Buzzi Admin Only'!Q:R,2,0),"")</f>
        <v/>
      </c>
    </row>
    <row r="812" spans="1:15" ht="15.75" customHeight="1" x14ac:dyDescent="0.25">
      <c r="N812" s="7" t="s">
        <v>16</v>
      </c>
      <c r="O812" s="6" t="str">
        <f>IFERROR(VLOOKUP(K812,'2. Buzzi Admin Only'!Q:R,2,0),"")</f>
        <v/>
      </c>
    </row>
    <row r="813" spans="1:15" ht="15.75" customHeight="1" x14ac:dyDescent="0.25">
      <c r="N813" s="7" t="s">
        <v>16</v>
      </c>
      <c r="O813" s="6" t="str">
        <f>IFERROR(VLOOKUP(K813,'2. Buzzi Admin Only'!Q:R,2,0),"")</f>
        <v/>
      </c>
    </row>
    <row r="814" spans="1:15" ht="15.75" customHeight="1" x14ac:dyDescent="0.25">
      <c r="N814" s="7" t="s">
        <v>16</v>
      </c>
      <c r="O814" s="6" t="str">
        <f>IFERROR(VLOOKUP(K814,'2. Buzzi Admin Only'!Q:R,2,0),"")</f>
        <v/>
      </c>
    </row>
    <row r="815" spans="1:15" ht="15.75" customHeight="1" x14ac:dyDescent="0.25">
      <c r="N815" s="7" t="s">
        <v>16</v>
      </c>
      <c r="O815" s="6" t="str">
        <f>IFERROR(VLOOKUP(K815,'2. Buzzi Admin Only'!Q:R,2,0),"")</f>
        <v/>
      </c>
    </row>
    <row r="816" spans="1:15" ht="15.75" customHeight="1" x14ac:dyDescent="0.25">
      <c r="N816" s="7" t="s">
        <v>16</v>
      </c>
      <c r="O816" s="6" t="str">
        <f>IFERROR(VLOOKUP(K816,'2. Buzzi Admin Only'!Q:R,2,0),"")</f>
        <v/>
      </c>
    </row>
    <row r="817" spans="14:15" ht="15.75" customHeight="1" x14ac:dyDescent="0.25">
      <c r="N817" s="7" t="s">
        <v>16</v>
      </c>
      <c r="O817" s="6" t="str">
        <f>IFERROR(VLOOKUP(K817,'2. Buzzi Admin Only'!Q:R,2,0),"")</f>
        <v/>
      </c>
    </row>
    <row r="818" spans="14:15" ht="15.75" customHeight="1" x14ac:dyDescent="0.25">
      <c r="N818" s="7" t="s">
        <v>16</v>
      </c>
      <c r="O818" s="6" t="str">
        <f>IFERROR(VLOOKUP(K818,'2. Buzzi Admin Only'!Q:R,2,0),"")</f>
        <v/>
      </c>
    </row>
    <row r="819" spans="14:15" ht="15.75" customHeight="1" x14ac:dyDescent="0.25">
      <c r="N819" s="7" t="s">
        <v>16</v>
      </c>
      <c r="O819" s="6" t="str">
        <f>IFERROR(VLOOKUP(K819,'2. Buzzi Admin Only'!Q:R,2,0),"")</f>
        <v/>
      </c>
    </row>
    <row r="820" spans="14:15" ht="15.75" customHeight="1" x14ac:dyDescent="0.25">
      <c r="N820" s="7" t="s">
        <v>16</v>
      </c>
      <c r="O820" s="6" t="str">
        <f>IFERROR(VLOOKUP(K820,'2. Buzzi Admin Only'!Q:R,2,0),"")</f>
        <v/>
      </c>
    </row>
    <row r="821" spans="14:15" ht="15.75" customHeight="1" x14ac:dyDescent="0.25">
      <c r="N821" s="7" t="s">
        <v>16</v>
      </c>
      <c r="O821" s="6" t="str">
        <f>IFERROR(VLOOKUP(K821,'2. Buzzi Admin Only'!Q:R,2,0),"")</f>
        <v/>
      </c>
    </row>
    <row r="822" spans="14:15" ht="15.75" customHeight="1" x14ac:dyDescent="0.25">
      <c r="N822" s="7" t="s">
        <v>16</v>
      </c>
      <c r="O822" s="6" t="str">
        <f>IFERROR(VLOOKUP(K822,'2. Buzzi Admin Only'!Q:R,2,0),"")</f>
        <v/>
      </c>
    </row>
    <row r="823" spans="14:15" ht="15.75" customHeight="1" x14ac:dyDescent="0.25">
      <c r="N823" s="7" t="s">
        <v>16</v>
      </c>
      <c r="O823" s="6" t="str">
        <f>IFERROR(VLOOKUP(K823,'2. Buzzi Admin Only'!Q:R,2,0),"")</f>
        <v/>
      </c>
    </row>
    <row r="824" spans="14:15" ht="15.75" customHeight="1" x14ac:dyDescent="0.25">
      <c r="N824" s="7" t="s">
        <v>16</v>
      </c>
      <c r="O824" s="6" t="str">
        <f>IFERROR(VLOOKUP(K824,'2. Buzzi Admin Only'!Q:R,2,0),"")</f>
        <v/>
      </c>
    </row>
    <row r="825" spans="14:15" ht="15.75" customHeight="1" x14ac:dyDescent="0.25">
      <c r="N825" s="7" t="s">
        <v>16</v>
      </c>
      <c r="O825" s="6" t="str">
        <f>IFERROR(VLOOKUP(K825,'2. Buzzi Admin Only'!Q:R,2,0),"")</f>
        <v/>
      </c>
    </row>
    <row r="826" spans="14:15" ht="15.75" customHeight="1" x14ac:dyDescent="0.25">
      <c r="N826" s="7" t="s">
        <v>16</v>
      </c>
      <c r="O826" s="6" t="str">
        <f>IFERROR(VLOOKUP(K826,'2. Buzzi Admin Only'!Q:R,2,0),"")</f>
        <v/>
      </c>
    </row>
    <row r="827" spans="14:15" ht="15.75" customHeight="1" x14ac:dyDescent="0.25">
      <c r="N827" s="7" t="s">
        <v>16</v>
      </c>
      <c r="O827" s="6" t="str">
        <f>IFERROR(VLOOKUP(K827,'2. Buzzi Admin Only'!Q:R,2,0),"")</f>
        <v/>
      </c>
    </row>
    <row r="828" spans="14:15" ht="15.75" customHeight="1" x14ac:dyDescent="0.25">
      <c r="N828" s="7" t="s">
        <v>16</v>
      </c>
      <c r="O828" s="6" t="str">
        <f>IFERROR(VLOOKUP(K828,'2. Buzzi Admin Only'!Q:R,2,0),"")</f>
        <v/>
      </c>
    </row>
    <row r="829" spans="14:15" ht="15.75" customHeight="1" x14ac:dyDescent="0.25">
      <c r="N829" s="7" t="s">
        <v>16</v>
      </c>
      <c r="O829" s="6" t="str">
        <f>IFERROR(VLOOKUP(K829,'2. Buzzi Admin Only'!Q:R,2,0),"")</f>
        <v/>
      </c>
    </row>
    <row r="830" spans="14:15" ht="15.75" customHeight="1" x14ac:dyDescent="0.25">
      <c r="N830" s="7" t="s">
        <v>16</v>
      </c>
      <c r="O830" s="6" t="str">
        <f>IFERROR(VLOOKUP(K830,'2. Buzzi Admin Only'!Q:R,2,0),"")</f>
        <v/>
      </c>
    </row>
    <row r="831" spans="14:15" ht="15.75" customHeight="1" x14ac:dyDescent="0.25">
      <c r="N831" s="7" t="s">
        <v>16</v>
      </c>
      <c r="O831" s="6" t="str">
        <f>IFERROR(VLOOKUP(K831,'2. Buzzi Admin Only'!Q:R,2,0),"")</f>
        <v/>
      </c>
    </row>
    <row r="832" spans="14:15" ht="15.75" customHeight="1" x14ac:dyDescent="0.25">
      <c r="N832" s="7" t="s">
        <v>16</v>
      </c>
      <c r="O832" s="6" t="str">
        <f>IFERROR(VLOOKUP(K832,'2. Buzzi Admin Only'!Q:R,2,0),"")</f>
        <v/>
      </c>
    </row>
    <row r="833" spans="14:15" ht="15.75" customHeight="1" x14ac:dyDescent="0.25">
      <c r="N833" s="7" t="s">
        <v>16</v>
      </c>
      <c r="O833" s="6" t="str">
        <f>IFERROR(VLOOKUP(K833,'2. Buzzi Admin Only'!Q:R,2,0),"")</f>
        <v/>
      </c>
    </row>
    <row r="834" spans="14:15" ht="15.75" customHeight="1" x14ac:dyDescent="0.25">
      <c r="N834" s="7" t="s">
        <v>16</v>
      </c>
      <c r="O834" s="6" t="str">
        <f>IFERROR(VLOOKUP(K834,'2. Buzzi Admin Only'!Q:R,2,0),"")</f>
        <v/>
      </c>
    </row>
    <row r="835" spans="14:15" ht="15.75" customHeight="1" x14ac:dyDescent="0.25">
      <c r="N835" s="7" t="s">
        <v>16</v>
      </c>
      <c r="O835" s="6" t="str">
        <f>IFERROR(VLOOKUP(K835,'2. Buzzi Admin Only'!Q:R,2,0),"")</f>
        <v/>
      </c>
    </row>
    <row r="836" spans="14:15" ht="15.75" customHeight="1" x14ac:dyDescent="0.25">
      <c r="N836" s="7" t="s">
        <v>16</v>
      </c>
      <c r="O836" s="6" t="str">
        <f>IFERROR(VLOOKUP(K836,'2. Buzzi Admin Only'!Q:R,2,0),"")</f>
        <v/>
      </c>
    </row>
    <row r="837" spans="14:15" ht="15.75" customHeight="1" x14ac:dyDescent="0.25">
      <c r="N837" s="7" t="s">
        <v>16</v>
      </c>
      <c r="O837" s="6" t="str">
        <f>IFERROR(VLOOKUP(K837,'2. Buzzi Admin Only'!Q:R,2,0),"")</f>
        <v/>
      </c>
    </row>
    <row r="838" spans="14:15" ht="15.75" customHeight="1" x14ac:dyDescent="0.25">
      <c r="N838" s="7" t="s">
        <v>16</v>
      </c>
      <c r="O838" s="6" t="str">
        <f>IFERROR(VLOOKUP(K838,'2. Buzzi Admin Only'!Q:R,2,0),"")</f>
        <v/>
      </c>
    </row>
    <row r="839" spans="14:15" ht="15.75" customHeight="1" x14ac:dyDescent="0.25">
      <c r="N839" s="7" t="s">
        <v>16</v>
      </c>
      <c r="O839" s="6" t="str">
        <f>IFERROR(VLOOKUP(K839,'2. Buzzi Admin Only'!Q:R,2,0),"")</f>
        <v/>
      </c>
    </row>
    <row r="840" spans="14:15" ht="15.75" customHeight="1" x14ac:dyDescent="0.25">
      <c r="N840" s="7" t="s">
        <v>16</v>
      </c>
      <c r="O840" s="6" t="str">
        <f>IFERROR(VLOOKUP(K840,'2. Buzzi Admin Only'!Q:R,2,0),"")</f>
        <v/>
      </c>
    </row>
    <row r="841" spans="14:15" ht="15.75" customHeight="1" x14ac:dyDescent="0.25">
      <c r="N841" s="7" t="s">
        <v>16</v>
      </c>
      <c r="O841" s="6" t="str">
        <f>IFERROR(VLOOKUP(K841,'2. Buzzi Admin Only'!Q:R,2,0),"")</f>
        <v/>
      </c>
    </row>
    <row r="842" spans="14:15" ht="15.75" customHeight="1" x14ac:dyDescent="0.25">
      <c r="N842" s="7" t="s">
        <v>16</v>
      </c>
      <c r="O842" s="6" t="str">
        <f>IFERROR(VLOOKUP(K842,'2. Buzzi Admin Only'!Q:R,2,0),"")</f>
        <v/>
      </c>
    </row>
    <row r="843" spans="14:15" ht="15.75" customHeight="1" x14ac:dyDescent="0.25">
      <c r="N843" s="7" t="s">
        <v>16</v>
      </c>
      <c r="O843" s="6" t="str">
        <f>IFERROR(VLOOKUP(K843,'2. Buzzi Admin Only'!Q:R,2,0),"")</f>
        <v/>
      </c>
    </row>
    <row r="844" spans="14:15" ht="15.75" customHeight="1" x14ac:dyDescent="0.25">
      <c r="N844" s="7" t="s">
        <v>16</v>
      </c>
      <c r="O844" s="6" t="str">
        <f>IFERROR(VLOOKUP(K844,'2. Buzzi Admin Only'!Q:R,2,0),"")</f>
        <v/>
      </c>
    </row>
    <row r="845" spans="14:15" ht="15.75" customHeight="1" x14ac:dyDescent="0.25">
      <c r="N845" s="7" t="s">
        <v>16</v>
      </c>
      <c r="O845" s="6" t="str">
        <f>IFERROR(VLOOKUP(K845,'2. Buzzi Admin Only'!Q:R,2,0),"")</f>
        <v/>
      </c>
    </row>
    <row r="846" spans="14:15" ht="15.75" customHeight="1" x14ac:dyDescent="0.25">
      <c r="N846" s="7" t="s">
        <v>16</v>
      </c>
      <c r="O846" s="6" t="str">
        <f>IFERROR(VLOOKUP(K846,'2. Buzzi Admin Only'!Q:R,2,0),"")</f>
        <v/>
      </c>
    </row>
    <row r="847" spans="14:15" ht="15.75" customHeight="1" x14ac:dyDescent="0.25">
      <c r="N847" s="7" t="s">
        <v>16</v>
      </c>
      <c r="O847" s="6" t="str">
        <f>IFERROR(VLOOKUP(K847,'2. Buzzi Admin Only'!Q:R,2,0),"")</f>
        <v/>
      </c>
    </row>
    <row r="848" spans="14:15" ht="15.75" customHeight="1" x14ac:dyDescent="0.25">
      <c r="N848" s="7" t="s">
        <v>16</v>
      </c>
      <c r="O848" s="6" t="str">
        <f>IFERROR(VLOOKUP(K848,'2. Buzzi Admin Only'!Q:R,2,0),"")</f>
        <v/>
      </c>
    </row>
    <row r="849" spans="14:15" ht="15.75" customHeight="1" x14ac:dyDescent="0.25">
      <c r="N849" s="7" t="s">
        <v>16</v>
      </c>
      <c r="O849" s="6" t="str">
        <f>IFERROR(VLOOKUP(K849,'2. Buzzi Admin Only'!Q:R,2,0),"")</f>
        <v/>
      </c>
    </row>
    <row r="850" spans="14:15" ht="15.75" customHeight="1" x14ac:dyDescent="0.25">
      <c r="N850" s="7" t="s">
        <v>16</v>
      </c>
      <c r="O850" s="6" t="str">
        <f>IFERROR(VLOOKUP(K850,'2. Buzzi Admin Only'!Q:R,2,0),"")</f>
        <v/>
      </c>
    </row>
    <row r="851" spans="14:15" ht="15.75" customHeight="1" x14ac:dyDescent="0.25">
      <c r="N851" s="7" t="s">
        <v>16</v>
      </c>
      <c r="O851" s="6" t="str">
        <f>IFERROR(VLOOKUP(K851,'2. Buzzi Admin Only'!Q:R,2,0),"")</f>
        <v/>
      </c>
    </row>
    <row r="852" spans="14:15" ht="15.75" customHeight="1" x14ac:dyDescent="0.25">
      <c r="N852" s="7" t="s">
        <v>16</v>
      </c>
      <c r="O852" s="6" t="str">
        <f>IFERROR(VLOOKUP(K852,'2. Buzzi Admin Only'!Q:R,2,0),"")</f>
        <v/>
      </c>
    </row>
    <row r="853" spans="14:15" ht="15.75" customHeight="1" x14ac:dyDescent="0.25">
      <c r="N853" s="7" t="s">
        <v>16</v>
      </c>
      <c r="O853" s="6" t="str">
        <f>IFERROR(VLOOKUP(K853,'2. Buzzi Admin Only'!Q:R,2,0),"")</f>
        <v/>
      </c>
    </row>
    <row r="854" spans="14:15" ht="15.75" customHeight="1" x14ac:dyDescent="0.25">
      <c r="N854" s="7" t="s">
        <v>16</v>
      </c>
      <c r="O854" s="6" t="str">
        <f>IFERROR(VLOOKUP(K854,'2. Buzzi Admin Only'!Q:R,2,0),"")</f>
        <v/>
      </c>
    </row>
    <row r="855" spans="14:15" ht="15.75" customHeight="1" x14ac:dyDescent="0.25">
      <c r="N855" s="7" t="s">
        <v>16</v>
      </c>
      <c r="O855" s="6" t="str">
        <f>IFERROR(VLOOKUP(K855,'2. Buzzi Admin Only'!Q:R,2,0),"")</f>
        <v/>
      </c>
    </row>
    <row r="856" spans="14:15" ht="15.75" customHeight="1" x14ac:dyDescent="0.25">
      <c r="N856" s="7" t="s">
        <v>16</v>
      </c>
      <c r="O856" s="6" t="str">
        <f>IFERROR(VLOOKUP(K856,'2. Buzzi Admin Only'!Q:R,2,0),"")</f>
        <v/>
      </c>
    </row>
    <row r="857" spans="14:15" ht="15.75" customHeight="1" x14ac:dyDescent="0.25">
      <c r="N857" s="7" t="s">
        <v>16</v>
      </c>
      <c r="O857" s="6" t="str">
        <f>IFERROR(VLOOKUP(K857,'2. Buzzi Admin Only'!Q:R,2,0),"")</f>
        <v/>
      </c>
    </row>
    <row r="858" spans="14:15" ht="15.75" customHeight="1" x14ac:dyDescent="0.25">
      <c r="N858" s="7" t="s">
        <v>16</v>
      </c>
      <c r="O858" s="6" t="str">
        <f>IFERROR(VLOOKUP(K858,'2. Buzzi Admin Only'!Q:R,2,0),"")</f>
        <v/>
      </c>
    </row>
    <row r="859" spans="14:15" ht="15.75" customHeight="1" x14ac:dyDescent="0.25">
      <c r="N859" s="7" t="s">
        <v>16</v>
      </c>
      <c r="O859" s="6" t="str">
        <f>IFERROR(VLOOKUP(K859,'2. Buzzi Admin Only'!Q:R,2,0),"")</f>
        <v/>
      </c>
    </row>
    <row r="860" spans="14:15" ht="15.75" customHeight="1" x14ac:dyDescent="0.25">
      <c r="N860" s="7" t="s">
        <v>16</v>
      </c>
      <c r="O860" s="6" t="str">
        <f>IFERROR(VLOOKUP(K860,'2. Buzzi Admin Only'!Q:R,2,0),"")</f>
        <v/>
      </c>
    </row>
    <row r="861" spans="14:15" ht="15.75" customHeight="1" x14ac:dyDescent="0.25">
      <c r="N861" s="7" t="s">
        <v>16</v>
      </c>
      <c r="O861" s="6" t="str">
        <f>IFERROR(VLOOKUP(K861,'2. Buzzi Admin Only'!Q:R,2,0),"")</f>
        <v/>
      </c>
    </row>
    <row r="862" spans="14:15" ht="15.75" customHeight="1" x14ac:dyDescent="0.25">
      <c r="N862" s="7" t="s">
        <v>16</v>
      </c>
      <c r="O862" s="6" t="str">
        <f>IFERROR(VLOOKUP(K862,'2. Buzzi Admin Only'!Q:R,2,0),"")</f>
        <v/>
      </c>
    </row>
    <row r="863" spans="14:15" ht="15.75" customHeight="1" x14ac:dyDescent="0.25">
      <c r="N863" s="7" t="s">
        <v>16</v>
      </c>
      <c r="O863" s="6" t="str">
        <f>IFERROR(VLOOKUP(K863,'2. Buzzi Admin Only'!Q:R,2,0),"")</f>
        <v/>
      </c>
    </row>
    <row r="864" spans="14:15" ht="15.75" customHeight="1" x14ac:dyDescent="0.25">
      <c r="N864" s="7" t="s">
        <v>16</v>
      </c>
      <c r="O864" s="6" t="str">
        <f>IFERROR(VLOOKUP(K864,'2. Buzzi Admin Only'!Q:R,2,0),"")</f>
        <v/>
      </c>
    </row>
    <row r="865" spans="14:15" ht="15.75" customHeight="1" x14ac:dyDescent="0.25">
      <c r="N865" s="7" t="s">
        <v>16</v>
      </c>
      <c r="O865" s="6" t="str">
        <f>IFERROR(VLOOKUP(K865,'2. Buzzi Admin Only'!Q:R,2,0),"")</f>
        <v/>
      </c>
    </row>
    <row r="866" spans="14:15" ht="15.75" customHeight="1" x14ac:dyDescent="0.25">
      <c r="N866" s="7" t="s">
        <v>16</v>
      </c>
      <c r="O866" s="6" t="str">
        <f>IFERROR(VLOOKUP(K866,'2. Buzzi Admin Only'!Q:R,2,0),"")</f>
        <v/>
      </c>
    </row>
    <row r="867" spans="14:15" ht="15.75" customHeight="1" x14ac:dyDescent="0.25">
      <c r="N867" s="7" t="s">
        <v>16</v>
      </c>
      <c r="O867" s="6" t="str">
        <f>IFERROR(VLOOKUP(K867,'2. Buzzi Admin Only'!Q:R,2,0),"")</f>
        <v/>
      </c>
    </row>
    <row r="868" spans="14:15" ht="15.75" customHeight="1" x14ac:dyDescent="0.25">
      <c r="N868" s="7" t="s">
        <v>16</v>
      </c>
      <c r="O868" s="6" t="str">
        <f>IFERROR(VLOOKUP(K868,'2. Buzzi Admin Only'!Q:R,2,0),"")</f>
        <v/>
      </c>
    </row>
    <row r="869" spans="14:15" ht="15.75" customHeight="1" x14ac:dyDescent="0.25">
      <c r="N869" s="7" t="s">
        <v>16</v>
      </c>
      <c r="O869" s="6" t="str">
        <f>IFERROR(VLOOKUP(K869,'2. Buzzi Admin Only'!Q:R,2,0),"")</f>
        <v/>
      </c>
    </row>
    <row r="870" spans="14:15" ht="15.75" customHeight="1" x14ac:dyDescent="0.25">
      <c r="N870" s="7" t="s">
        <v>16</v>
      </c>
      <c r="O870" s="6" t="str">
        <f>IFERROR(VLOOKUP(K870,'2. Buzzi Admin Only'!Q:R,2,0),"")</f>
        <v/>
      </c>
    </row>
    <row r="871" spans="14:15" ht="15.75" customHeight="1" x14ac:dyDescent="0.25">
      <c r="N871" s="7" t="s">
        <v>16</v>
      </c>
      <c r="O871" s="6" t="str">
        <f>IFERROR(VLOOKUP(K871,'2. Buzzi Admin Only'!Q:R,2,0),"")</f>
        <v/>
      </c>
    </row>
    <row r="872" spans="14:15" ht="15.75" customHeight="1" x14ac:dyDescent="0.25">
      <c r="N872" s="7" t="s">
        <v>16</v>
      </c>
      <c r="O872" s="6" t="str">
        <f>IFERROR(VLOOKUP(K872,'2. Buzzi Admin Only'!Q:R,2,0),"")</f>
        <v/>
      </c>
    </row>
    <row r="873" spans="14:15" ht="15.75" customHeight="1" x14ac:dyDescent="0.25">
      <c r="N873" s="7" t="s">
        <v>16</v>
      </c>
      <c r="O873" s="6" t="str">
        <f>IFERROR(VLOOKUP(K873,'2. Buzzi Admin Only'!Q:R,2,0),"")</f>
        <v/>
      </c>
    </row>
    <row r="874" spans="14:15" ht="15.75" customHeight="1" x14ac:dyDescent="0.25">
      <c r="N874" s="7" t="s">
        <v>16</v>
      </c>
      <c r="O874" s="6" t="str">
        <f>IFERROR(VLOOKUP(K874,'2. Buzzi Admin Only'!Q:R,2,0),"")</f>
        <v/>
      </c>
    </row>
    <row r="875" spans="14:15" ht="15.75" customHeight="1" x14ac:dyDescent="0.25">
      <c r="N875" s="7" t="s">
        <v>16</v>
      </c>
      <c r="O875" s="6" t="str">
        <f>IFERROR(VLOOKUP(K875,'2. Buzzi Admin Only'!Q:R,2,0),"")</f>
        <v/>
      </c>
    </row>
    <row r="876" spans="14:15" ht="15.75" customHeight="1" x14ac:dyDescent="0.25">
      <c r="N876" s="7" t="s">
        <v>16</v>
      </c>
      <c r="O876" s="6" t="str">
        <f>IFERROR(VLOOKUP(K876,'2. Buzzi Admin Only'!Q:R,2,0),"")</f>
        <v/>
      </c>
    </row>
    <row r="877" spans="14:15" ht="15.75" customHeight="1" x14ac:dyDescent="0.25">
      <c r="N877" s="7" t="s">
        <v>16</v>
      </c>
      <c r="O877" s="6" t="str">
        <f>IFERROR(VLOOKUP(K877,'2. Buzzi Admin Only'!Q:R,2,0),"")</f>
        <v/>
      </c>
    </row>
    <row r="878" spans="14:15" ht="15.75" customHeight="1" x14ac:dyDescent="0.25">
      <c r="N878" s="7" t="s">
        <v>16</v>
      </c>
      <c r="O878" s="6" t="str">
        <f>IFERROR(VLOOKUP(K878,'2. Buzzi Admin Only'!Q:R,2,0),"")</f>
        <v/>
      </c>
    </row>
    <row r="879" spans="14:15" ht="15.75" customHeight="1" x14ac:dyDescent="0.25">
      <c r="N879" s="7" t="s">
        <v>16</v>
      </c>
      <c r="O879" s="6" t="str">
        <f>IFERROR(VLOOKUP(K879,'2. Buzzi Admin Only'!Q:R,2,0),"")</f>
        <v/>
      </c>
    </row>
    <row r="880" spans="14:15" ht="15.75" customHeight="1" x14ac:dyDescent="0.25">
      <c r="N880" s="7" t="s">
        <v>16</v>
      </c>
      <c r="O880" s="6" t="str">
        <f>IFERROR(VLOOKUP(K880,'2. Buzzi Admin Only'!Q:R,2,0),"")</f>
        <v/>
      </c>
    </row>
    <row r="881" spans="14:15" ht="15.75" customHeight="1" x14ac:dyDescent="0.25">
      <c r="N881" s="7" t="s">
        <v>16</v>
      </c>
      <c r="O881" s="6" t="str">
        <f>IFERROR(VLOOKUP(K881,'2. Buzzi Admin Only'!Q:R,2,0),"")</f>
        <v/>
      </c>
    </row>
    <row r="882" spans="14:15" ht="15.75" customHeight="1" x14ac:dyDescent="0.25">
      <c r="N882" s="7" t="s">
        <v>16</v>
      </c>
      <c r="O882" s="6" t="str">
        <f>IFERROR(VLOOKUP(K882,'2. Buzzi Admin Only'!Q:R,2,0),"")</f>
        <v/>
      </c>
    </row>
    <row r="883" spans="14:15" ht="15.75" customHeight="1" x14ac:dyDescent="0.25">
      <c r="N883" s="7" t="s">
        <v>16</v>
      </c>
      <c r="O883" s="6" t="str">
        <f>IFERROR(VLOOKUP(K883,'2. Buzzi Admin Only'!Q:R,2,0),"")</f>
        <v/>
      </c>
    </row>
    <row r="884" spans="14:15" ht="15.75" customHeight="1" x14ac:dyDescent="0.25">
      <c r="N884" s="7" t="s">
        <v>16</v>
      </c>
      <c r="O884" s="6" t="str">
        <f>IFERROR(VLOOKUP(K884,'2. Buzzi Admin Only'!Q:R,2,0),"")</f>
        <v/>
      </c>
    </row>
    <row r="885" spans="14:15" ht="15.75" customHeight="1" x14ac:dyDescent="0.25">
      <c r="N885" s="7" t="s">
        <v>16</v>
      </c>
      <c r="O885" s="6" t="str">
        <f>IFERROR(VLOOKUP(K885,'2. Buzzi Admin Only'!Q:R,2,0),"")</f>
        <v/>
      </c>
    </row>
    <row r="886" spans="14:15" ht="15.75" customHeight="1" x14ac:dyDescent="0.25">
      <c r="N886" s="7" t="s">
        <v>16</v>
      </c>
      <c r="O886" s="6" t="str">
        <f>IFERROR(VLOOKUP(K886,'2. Buzzi Admin Only'!Q:R,2,0),"")</f>
        <v/>
      </c>
    </row>
    <row r="887" spans="14:15" ht="15.75" customHeight="1" x14ac:dyDescent="0.25">
      <c r="N887" s="7" t="s">
        <v>16</v>
      </c>
      <c r="O887" s="6" t="str">
        <f>IFERROR(VLOOKUP(K887,'2. Buzzi Admin Only'!Q:R,2,0),"")</f>
        <v/>
      </c>
    </row>
    <row r="888" spans="14:15" ht="15.75" customHeight="1" x14ac:dyDescent="0.25">
      <c r="N888" s="7" t="s">
        <v>16</v>
      </c>
      <c r="O888" s="6" t="str">
        <f>IFERROR(VLOOKUP(K888,'2. Buzzi Admin Only'!Q:R,2,0),"")</f>
        <v/>
      </c>
    </row>
    <row r="889" spans="14:15" ht="15.75" customHeight="1" x14ac:dyDescent="0.25">
      <c r="N889" s="7" t="s">
        <v>16</v>
      </c>
      <c r="O889" s="6" t="str">
        <f>IFERROR(VLOOKUP(K889,'2. Buzzi Admin Only'!Q:R,2,0),"")</f>
        <v/>
      </c>
    </row>
    <row r="890" spans="14:15" ht="15.75" customHeight="1" x14ac:dyDescent="0.25">
      <c r="N890" s="7" t="s">
        <v>16</v>
      </c>
      <c r="O890" s="6" t="str">
        <f>IFERROR(VLOOKUP(K890,'2. Buzzi Admin Only'!Q:R,2,0),"")</f>
        <v/>
      </c>
    </row>
    <row r="891" spans="14:15" ht="15.75" customHeight="1" x14ac:dyDescent="0.25">
      <c r="N891" s="7" t="s">
        <v>16</v>
      </c>
      <c r="O891" s="6" t="str">
        <f>IFERROR(VLOOKUP(K891,'2. Buzzi Admin Only'!Q:R,2,0),"")</f>
        <v/>
      </c>
    </row>
    <row r="892" spans="14:15" ht="15.75" customHeight="1" x14ac:dyDescent="0.25">
      <c r="N892" s="7" t="s">
        <v>16</v>
      </c>
      <c r="O892" s="6" t="str">
        <f>IFERROR(VLOOKUP(K892,'2. Buzzi Admin Only'!Q:R,2,0),"")</f>
        <v/>
      </c>
    </row>
    <row r="893" spans="14:15" ht="15.75" customHeight="1" x14ac:dyDescent="0.25">
      <c r="N893" s="7" t="s">
        <v>16</v>
      </c>
      <c r="O893" s="6" t="str">
        <f>IFERROR(VLOOKUP(K893,'2. Buzzi Admin Only'!Q:R,2,0),"")</f>
        <v/>
      </c>
    </row>
    <row r="894" spans="14:15" ht="15.75" customHeight="1" x14ac:dyDescent="0.25">
      <c r="N894" s="7" t="s">
        <v>16</v>
      </c>
      <c r="O894" s="6" t="str">
        <f>IFERROR(VLOOKUP(K894,'2. Buzzi Admin Only'!Q:R,2,0),"")</f>
        <v/>
      </c>
    </row>
    <row r="895" spans="14:15" ht="15.75" customHeight="1" x14ac:dyDescent="0.25">
      <c r="N895" s="7" t="s">
        <v>16</v>
      </c>
      <c r="O895" s="6" t="str">
        <f>IFERROR(VLOOKUP(K895,'2. Buzzi Admin Only'!Q:R,2,0),"")</f>
        <v/>
      </c>
    </row>
    <row r="896" spans="14:15" ht="15.75" customHeight="1" x14ac:dyDescent="0.25">
      <c r="N896" s="7" t="s">
        <v>16</v>
      </c>
      <c r="O896" s="6" t="str">
        <f>IFERROR(VLOOKUP(K896,'2. Buzzi Admin Only'!Q:R,2,0),"")</f>
        <v/>
      </c>
    </row>
    <row r="897" spans="14:15" ht="15.75" customHeight="1" x14ac:dyDescent="0.25">
      <c r="N897" s="7" t="s">
        <v>16</v>
      </c>
      <c r="O897" s="6" t="str">
        <f>IFERROR(VLOOKUP(K897,'2. Buzzi Admin Only'!Q:R,2,0),"")</f>
        <v/>
      </c>
    </row>
    <row r="898" spans="14:15" ht="15.75" customHeight="1" x14ac:dyDescent="0.25">
      <c r="N898" s="7" t="s">
        <v>16</v>
      </c>
      <c r="O898" s="6" t="str">
        <f>IFERROR(VLOOKUP(K898,'2. Buzzi Admin Only'!Q:R,2,0),"")</f>
        <v/>
      </c>
    </row>
    <row r="899" spans="14:15" ht="15.75" customHeight="1" x14ac:dyDescent="0.25">
      <c r="N899" s="7" t="s">
        <v>16</v>
      </c>
      <c r="O899" s="6" t="str">
        <f>IFERROR(VLOOKUP(K899,'2. Buzzi Admin Only'!Q:R,2,0),"")</f>
        <v/>
      </c>
    </row>
    <row r="900" spans="14:15" ht="15.75" customHeight="1" x14ac:dyDescent="0.25">
      <c r="N900" s="7" t="s">
        <v>16</v>
      </c>
      <c r="O900" s="6" t="str">
        <f>IFERROR(VLOOKUP(K900,'2. Buzzi Admin Only'!Q:R,2,0),"")</f>
        <v/>
      </c>
    </row>
    <row r="901" spans="14:15" ht="15.75" customHeight="1" x14ac:dyDescent="0.25">
      <c r="N901" s="7" t="s">
        <v>16</v>
      </c>
      <c r="O901" s="6" t="str">
        <f>IFERROR(VLOOKUP(K901,'2. Buzzi Admin Only'!Q:R,2,0),"")</f>
        <v/>
      </c>
    </row>
    <row r="902" spans="14:15" ht="15.75" customHeight="1" x14ac:dyDescent="0.25">
      <c r="N902" s="7" t="s">
        <v>16</v>
      </c>
      <c r="O902" s="6" t="str">
        <f>IFERROR(VLOOKUP(K902,'2. Buzzi Admin Only'!Q:R,2,0),"")</f>
        <v/>
      </c>
    </row>
    <row r="903" spans="14:15" ht="15.75" customHeight="1" x14ac:dyDescent="0.25">
      <c r="N903" s="7" t="s">
        <v>16</v>
      </c>
      <c r="O903" s="6" t="str">
        <f>IFERROR(VLOOKUP(K903,'2. Buzzi Admin Only'!Q:R,2,0),"")</f>
        <v/>
      </c>
    </row>
    <row r="904" spans="14:15" ht="15.75" customHeight="1" x14ac:dyDescent="0.25">
      <c r="N904" s="7" t="s">
        <v>16</v>
      </c>
      <c r="O904" s="6" t="str">
        <f>IFERROR(VLOOKUP(K904,'2. Buzzi Admin Only'!Q:R,2,0),"")</f>
        <v/>
      </c>
    </row>
    <row r="905" spans="14:15" ht="15.75" customHeight="1" x14ac:dyDescent="0.25">
      <c r="N905" s="7" t="s">
        <v>16</v>
      </c>
      <c r="O905" s="6" t="str">
        <f>IFERROR(VLOOKUP(K905,'2. Buzzi Admin Only'!Q:R,2,0),"")</f>
        <v/>
      </c>
    </row>
    <row r="906" spans="14:15" ht="15.75" customHeight="1" x14ac:dyDescent="0.25">
      <c r="N906" s="7" t="s">
        <v>16</v>
      </c>
      <c r="O906" s="6" t="str">
        <f>IFERROR(VLOOKUP(K906,'2. Buzzi Admin Only'!Q:R,2,0),"")</f>
        <v/>
      </c>
    </row>
    <row r="907" spans="14:15" ht="15.75" customHeight="1" x14ac:dyDescent="0.25">
      <c r="N907" s="7" t="s">
        <v>16</v>
      </c>
      <c r="O907" s="6" t="str">
        <f>IFERROR(VLOOKUP(K907,'2. Buzzi Admin Only'!Q:R,2,0),"")</f>
        <v/>
      </c>
    </row>
    <row r="908" spans="14:15" ht="15.75" customHeight="1" x14ac:dyDescent="0.25">
      <c r="N908" s="7" t="s">
        <v>16</v>
      </c>
      <c r="O908" s="6" t="str">
        <f>IFERROR(VLOOKUP(K908,'2. Buzzi Admin Only'!Q:R,2,0),"")</f>
        <v/>
      </c>
    </row>
    <row r="909" spans="14:15" ht="15.75" customHeight="1" x14ac:dyDescent="0.25">
      <c r="N909" s="7" t="s">
        <v>16</v>
      </c>
      <c r="O909" s="6" t="str">
        <f>IFERROR(VLOOKUP(K909,'2. Buzzi Admin Only'!Q:R,2,0),"")</f>
        <v/>
      </c>
    </row>
    <row r="910" spans="14:15" ht="15.75" customHeight="1" x14ac:dyDescent="0.25">
      <c r="N910" s="7" t="s">
        <v>16</v>
      </c>
      <c r="O910" s="6" t="str">
        <f>IFERROR(VLOOKUP(K910,'2. Buzzi Admin Only'!Q:R,2,0),"")</f>
        <v/>
      </c>
    </row>
    <row r="911" spans="14:15" ht="15.75" customHeight="1" x14ac:dyDescent="0.25">
      <c r="N911" s="7" t="s">
        <v>16</v>
      </c>
      <c r="O911" s="6" t="str">
        <f>IFERROR(VLOOKUP(K911,'2. Buzzi Admin Only'!Q:R,2,0),"")</f>
        <v/>
      </c>
    </row>
    <row r="912" spans="14:15" ht="15.75" customHeight="1" x14ac:dyDescent="0.25">
      <c r="N912" s="7" t="s">
        <v>16</v>
      </c>
      <c r="O912" s="6" t="str">
        <f>IFERROR(VLOOKUP(K912,'2. Buzzi Admin Only'!Q:R,2,0),"")</f>
        <v/>
      </c>
    </row>
    <row r="913" spans="14:15" ht="15.75" customHeight="1" x14ac:dyDescent="0.25">
      <c r="N913" s="7" t="s">
        <v>16</v>
      </c>
      <c r="O913" s="6" t="str">
        <f>IFERROR(VLOOKUP(K913,'2. Buzzi Admin Only'!Q:R,2,0),"")</f>
        <v/>
      </c>
    </row>
    <row r="914" spans="14:15" ht="15.75" customHeight="1" x14ac:dyDescent="0.25">
      <c r="N914" s="7" t="s">
        <v>16</v>
      </c>
      <c r="O914" s="6" t="str">
        <f>IFERROR(VLOOKUP(K914,'2. Buzzi Admin Only'!Q:R,2,0),"")</f>
        <v/>
      </c>
    </row>
    <row r="915" spans="14:15" ht="15.75" customHeight="1" x14ac:dyDescent="0.25">
      <c r="N915" s="7" t="s">
        <v>16</v>
      </c>
      <c r="O915" s="6" t="str">
        <f>IFERROR(VLOOKUP(K915,'2. Buzzi Admin Only'!Q:R,2,0),"")</f>
        <v/>
      </c>
    </row>
    <row r="916" spans="14:15" ht="15.75" customHeight="1" x14ac:dyDescent="0.25">
      <c r="N916" s="7" t="s">
        <v>16</v>
      </c>
      <c r="O916" s="6" t="str">
        <f>IFERROR(VLOOKUP(K916,'2. Buzzi Admin Only'!Q:R,2,0),"")</f>
        <v/>
      </c>
    </row>
    <row r="917" spans="14:15" ht="15.75" customHeight="1" x14ac:dyDescent="0.25">
      <c r="N917" s="7" t="s">
        <v>16</v>
      </c>
      <c r="O917" s="6" t="str">
        <f>IFERROR(VLOOKUP(K917,'2. Buzzi Admin Only'!Q:R,2,0),"")</f>
        <v/>
      </c>
    </row>
    <row r="918" spans="14:15" ht="15.75" customHeight="1" x14ac:dyDescent="0.25">
      <c r="N918" s="7" t="s">
        <v>16</v>
      </c>
      <c r="O918" s="6" t="str">
        <f>IFERROR(VLOOKUP(K918,'2. Buzzi Admin Only'!Q:R,2,0),"")</f>
        <v/>
      </c>
    </row>
    <row r="919" spans="14:15" ht="15.75" customHeight="1" x14ac:dyDescent="0.25">
      <c r="N919" s="7" t="s">
        <v>16</v>
      </c>
      <c r="O919" s="6" t="str">
        <f>IFERROR(VLOOKUP(K919,'2. Buzzi Admin Only'!Q:R,2,0),"")</f>
        <v/>
      </c>
    </row>
    <row r="920" spans="14:15" ht="15.75" customHeight="1" x14ac:dyDescent="0.25">
      <c r="N920" s="7" t="s">
        <v>16</v>
      </c>
      <c r="O920" s="6" t="str">
        <f>IFERROR(VLOOKUP(K920,'2. Buzzi Admin Only'!Q:R,2,0),"")</f>
        <v/>
      </c>
    </row>
    <row r="921" spans="14:15" ht="15.75" customHeight="1" x14ac:dyDescent="0.25">
      <c r="N921" s="7" t="s">
        <v>16</v>
      </c>
      <c r="O921" s="6" t="str">
        <f>IFERROR(VLOOKUP(K921,'2. Buzzi Admin Only'!Q:R,2,0),"")</f>
        <v/>
      </c>
    </row>
    <row r="922" spans="14:15" ht="15.75" customHeight="1" x14ac:dyDescent="0.25">
      <c r="N922" s="7" t="s">
        <v>16</v>
      </c>
      <c r="O922" s="6" t="str">
        <f>IFERROR(VLOOKUP(K922,'2. Buzzi Admin Only'!Q:R,2,0),"")</f>
        <v/>
      </c>
    </row>
    <row r="923" spans="14:15" ht="15.75" customHeight="1" x14ac:dyDescent="0.25">
      <c r="N923" s="7" t="s">
        <v>16</v>
      </c>
      <c r="O923" s="6" t="str">
        <f>IFERROR(VLOOKUP(K923,'2. Buzzi Admin Only'!Q:R,2,0),"")</f>
        <v/>
      </c>
    </row>
    <row r="924" spans="14:15" ht="15.75" customHeight="1" x14ac:dyDescent="0.25">
      <c r="N924" s="7" t="s">
        <v>16</v>
      </c>
      <c r="O924" s="6" t="str">
        <f>IFERROR(VLOOKUP(K924,'2. Buzzi Admin Only'!Q:R,2,0),"")</f>
        <v/>
      </c>
    </row>
    <row r="925" spans="14:15" ht="15.75" customHeight="1" x14ac:dyDescent="0.25">
      <c r="N925" s="7" t="s">
        <v>16</v>
      </c>
      <c r="O925" s="6" t="str">
        <f>IFERROR(VLOOKUP(K925,'2. Buzzi Admin Only'!Q:R,2,0),"")</f>
        <v/>
      </c>
    </row>
    <row r="926" spans="14:15" ht="15.75" customHeight="1" x14ac:dyDescent="0.25">
      <c r="N926" s="7" t="s">
        <v>16</v>
      </c>
      <c r="O926" s="6" t="str">
        <f>IFERROR(VLOOKUP(K926,'2. Buzzi Admin Only'!Q:R,2,0),"")</f>
        <v/>
      </c>
    </row>
    <row r="927" spans="14:15" ht="15.75" customHeight="1" x14ac:dyDescent="0.25">
      <c r="N927" s="7" t="s">
        <v>16</v>
      </c>
      <c r="O927" s="6" t="str">
        <f>IFERROR(VLOOKUP(K927,'2. Buzzi Admin Only'!Q:R,2,0),"")</f>
        <v/>
      </c>
    </row>
    <row r="928" spans="14:15" ht="15.75" customHeight="1" x14ac:dyDescent="0.25">
      <c r="N928" s="7" t="s">
        <v>16</v>
      </c>
      <c r="O928" s="6" t="str">
        <f>IFERROR(VLOOKUP(K928,'2. Buzzi Admin Only'!Q:R,2,0),"")</f>
        <v/>
      </c>
    </row>
    <row r="929" spans="14:15" ht="15.75" customHeight="1" x14ac:dyDescent="0.25">
      <c r="N929" s="7" t="s">
        <v>16</v>
      </c>
      <c r="O929" s="6" t="str">
        <f>IFERROR(VLOOKUP(K929,'2. Buzzi Admin Only'!Q:R,2,0),"")</f>
        <v/>
      </c>
    </row>
    <row r="930" spans="14:15" ht="15.75" customHeight="1" x14ac:dyDescent="0.25">
      <c r="N930" s="7" t="s">
        <v>16</v>
      </c>
      <c r="O930" s="6" t="str">
        <f>IFERROR(VLOOKUP(K930,'2. Buzzi Admin Only'!Q:R,2,0),"")</f>
        <v/>
      </c>
    </row>
    <row r="931" spans="14:15" ht="15.75" customHeight="1" x14ac:dyDescent="0.25">
      <c r="N931" s="7" t="s">
        <v>16</v>
      </c>
      <c r="O931" s="6" t="str">
        <f>IFERROR(VLOOKUP(K931,'2. Buzzi Admin Only'!Q:R,2,0),"")</f>
        <v/>
      </c>
    </row>
    <row r="932" spans="14:15" ht="15.75" customHeight="1" x14ac:dyDescent="0.25">
      <c r="N932" s="7" t="s">
        <v>16</v>
      </c>
      <c r="O932" s="6" t="str">
        <f>IFERROR(VLOOKUP(K932,'2. Buzzi Admin Only'!Q:R,2,0),"")</f>
        <v/>
      </c>
    </row>
    <row r="933" spans="14:15" ht="15.75" customHeight="1" x14ac:dyDescent="0.25">
      <c r="N933" s="7" t="s">
        <v>16</v>
      </c>
      <c r="O933" s="6" t="str">
        <f>IFERROR(VLOOKUP(K933,'2. Buzzi Admin Only'!Q:R,2,0),"")</f>
        <v/>
      </c>
    </row>
    <row r="934" spans="14:15" ht="15.75" customHeight="1" x14ac:dyDescent="0.25">
      <c r="N934" s="7" t="s">
        <v>16</v>
      </c>
      <c r="O934" s="6" t="str">
        <f>IFERROR(VLOOKUP(K934,'2. Buzzi Admin Only'!Q:R,2,0),"")</f>
        <v/>
      </c>
    </row>
    <row r="935" spans="14:15" ht="15.75" customHeight="1" x14ac:dyDescent="0.25">
      <c r="N935" s="7" t="s">
        <v>16</v>
      </c>
      <c r="O935" s="6" t="str">
        <f>IFERROR(VLOOKUP(K935,'2. Buzzi Admin Only'!Q:R,2,0),"")</f>
        <v/>
      </c>
    </row>
    <row r="936" spans="14:15" ht="15.75" customHeight="1" x14ac:dyDescent="0.25">
      <c r="N936" s="7" t="s">
        <v>16</v>
      </c>
      <c r="O936" s="6" t="str">
        <f>IFERROR(VLOOKUP(K936,'2. Buzzi Admin Only'!Q:R,2,0),"")</f>
        <v/>
      </c>
    </row>
    <row r="937" spans="14:15" ht="15.75" customHeight="1" x14ac:dyDescent="0.25">
      <c r="N937" s="7" t="s">
        <v>16</v>
      </c>
      <c r="O937" s="6" t="str">
        <f>IFERROR(VLOOKUP(K937,'2. Buzzi Admin Only'!Q:R,2,0),"")</f>
        <v/>
      </c>
    </row>
    <row r="938" spans="14:15" ht="15.75" customHeight="1" x14ac:dyDescent="0.25">
      <c r="N938" s="7" t="s">
        <v>16</v>
      </c>
      <c r="O938" s="6" t="str">
        <f>IFERROR(VLOOKUP(K938,'2. Buzzi Admin Only'!Q:R,2,0),"")</f>
        <v/>
      </c>
    </row>
    <row r="939" spans="14:15" ht="15.75" customHeight="1" x14ac:dyDescent="0.25">
      <c r="N939" s="7" t="s">
        <v>16</v>
      </c>
      <c r="O939" s="6" t="str">
        <f>IFERROR(VLOOKUP(K939,'2. Buzzi Admin Only'!Q:R,2,0),"")</f>
        <v/>
      </c>
    </row>
    <row r="940" spans="14:15" ht="15.75" customHeight="1" x14ac:dyDescent="0.25">
      <c r="N940" s="7" t="s">
        <v>16</v>
      </c>
      <c r="O940" s="6" t="str">
        <f>IFERROR(VLOOKUP(K940,'2. Buzzi Admin Only'!Q:R,2,0),"")</f>
        <v/>
      </c>
    </row>
    <row r="941" spans="14:15" ht="15.75" customHeight="1" x14ac:dyDescent="0.25">
      <c r="N941" s="7" t="s">
        <v>16</v>
      </c>
      <c r="O941" s="6" t="str">
        <f>IFERROR(VLOOKUP(K941,'2. Buzzi Admin Only'!Q:R,2,0),"")</f>
        <v/>
      </c>
    </row>
    <row r="942" spans="14:15" ht="15.75" customHeight="1" x14ac:dyDescent="0.25">
      <c r="N942" s="7" t="s">
        <v>16</v>
      </c>
      <c r="O942" s="6" t="str">
        <f>IFERROR(VLOOKUP(K942,'2. Buzzi Admin Only'!Q:R,2,0),"")</f>
        <v/>
      </c>
    </row>
    <row r="943" spans="14:15" ht="15.75" customHeight="1" x14ac:dyDescent="0.25">
      <c r="N943" s="7" t="s">
        <v>16</v>
      </c>
      <c r="O943" s="6" t="str">
        <f>IFERROR(VLOOKUP(K943,'2. Buzzi Admin Only'!Q:R,2,0),"")</f>
        <v/>
      </c>
    </row>
    <row r="944" spans="14:15" ht="15.75" customHeight="1" x14ac:dyDescent="0.25">
      <c r="N944" s="7" t="s">
        <v>16</v>
      </c>
      <c r="O944" s="6" t="str">
        <f>IFERROR(VLOOKUP(K944,'2. Buzzi Admin Only'!Q:R,2,0),"")</f>
        <v/>
      </c>
    </row>
    <row r="945" spans="14:15" ht="15.75" customHeight="1" x14ac:dyDescent="0.25">
      <c r="N945" s="7" t="s">
        <v>16</v>
      </c>
      <c r="O945" s="6" t="str">
        <f>IFERROR(VLOOKUP(K945,'2. Buzzi Admin Only'!Q:R,2,0),"")</f>
        <v/>
      </c>
    </row>
    <row r="946" spans="14:15" ht="15.75" customHeight="1" x14ac:dyDescent="0.25">
      <c r="N946" s="7" t="s">
        <v>16</v>
      </c>
      <c r="O946" s="6" t="str">
        <f>IFERROR(VLOOKUP(K946,'2. Buzzi Admin Only'!Q:R,2,0),"")</f>
        <v/>
      </c>
    </row>
    <row r="947" spans="14:15" ht="15.75" customHeight="1" x14ac:dyDescent="0.25">
      <c r="N947" s="7" t="s">
        <v>16</v>
      </c>
      <c r="O947" s="6" t="str">
        <f>IFERROR(VLOOKUP(K947,'2. Buzzi Admin Only'!Q:R,2,0),"")</f>
        <v/>
      </c>
    </row>
    <row r="948" spans="14:15" ht="15.75" customHeight="1" x14ac:dyDescent="0.25">
      <c r="N948" s="7" t="s">
        <v>16</v>
      </c>
      <c r="O948" s="6" t="str">
        <f>IFERROR(VLOOKUP(K948,'2. Buzzi Admin Only'!Q:R,2,0),"")</f>
        <v/>
      </c>
    </row>
    <row r="949" spans="14:15" ht="15.75" customHeight="1" x14ac:dyDescent="0.25">
      <c r="N949" s="7" t="s">
        <v>16</v>
      </c>
      <c r="O949" s="6" t="str">
        <f>IFERROR(VLOOKUP(K949,'2. Buzzi Admin Only'!Q:R,2,0),"")</f>
        <v/>
      </c>
    </row>
    <row r="950" spans="14:15" ht="15.75" customHeight="1" x14ac:dyDescent="0.25">
      <c r="N950" s="7" t="s">
        <v>16</v>
      </c>
      <c r="O950" s="6" t="str">
        <f>IFERROR(VLOOKUP(K950,'2. Buzzi Admin Only'!Q:R,2,0),"")</f>
        <v/>
      </c>
    </row>
    <row r="951" spans="14:15" ht="15.75" customHeight="1" x14ac:dyDescent="0.25">
      <c r="N951" s="7" t="s">
        <v>16</v>
      </c>
      <c r="O951" s="6" t="str">
        <f>IFERROR(VLOOKUP(K951,'2. Buzzi Admin Only'!Q:R,2,0),"")</f>
        <v/>
      </c>
    </row>
    <row r="952" spans="14:15" ht="15.75" customHeight="1" x14ac:dyDescent="0.25">
      <c r="N952" s="7" t="s">
        <v>16</v>
      </c>
      <c r="O952" s="6" t="str">
        <f>IFERROR(VLOOKUP(K952,'2. Buzzi Admin Only'!Q:R,2,0),"")</f>
        <v/>
      </c>
    </row>
    <row r="953" spans="14:15" ht="15.75" customHeight="1" x14ac:dyDescent="0.25">
      <c r="N953" s="7" t="s">
        <v>16</v>
      </c>
      <c r="O953" s="6" t="str">
        <f>IFERROR(VLOOKUP(K953,'2. Buzzi Admin Only'!Q:R,2,0),"")</f>
        <v/>
      </c>
    </row>
    <row r="954" spans="14:15" ht="15.75" customHeight="1" x14ac:dyDescent="0.25">
      <c r="N954" s="7" t="s">
        <v>16</v>
      </c>
      <c r="O954" s="6" t="str">
        <f>IFERROR(VLOOKUP(K954,'2. Buzzi Admin Only'!Q:R,2,0),"")</f>
        <v/>
      </c>
    </row>
    <row r="955" spans="14:15" ht="15.75" customHeight="1" x14ac:dyDescent="0.25">
      <c r="N955" s="7" t="s">
        <v>16</v>
      </c>
      <c r="O955" s="6" t="str">
        <f>IFERROR(VLOOKUP(K955,'2. Buzzi Admin Only'!Q:R,2,0),"")</f>
        <v/>
      </c>
    </row>
    <row r="956" spans="14:15" ht="15.75" customHeight="1" x14ac:dyDescent="0.25">
      <c r="N956" s="7" t="s">
        <v>16</v>
      </c>
      <c r="O956" s="6" t="str">
        <f>IFERROR(VLOOKUP(K956,'2. Buzzi Admin Only'!Q:R,2,0),"")</f>
        <v/>
      </c>
    </row>
    <row r="957" spans="14:15" ht="15.75" customHeight="1" x14ac:dyDescent="0.25">
      <c r="N957" s="7" t="s">
        <v>16</v>
      </c>
      <c r="O957" s="6" t="str">
        <f>IFERROR(VLOOKUP(K957,'2. Buzzi Admin Only'!Q:R,2,0),"")</f>
        <v/>
      </c>
    </row>
    <row r="958" spans="14:15" ht="15.75" customHeight="1" x14ac:dyDescent="0.25">
      <c r="N958" s="7" t="s">
        <v>16</v>
      </c>
      <c r="O958" s="6" t="str">
        <f>IFERROR(VLOOKUP(K958,'2. Buzzi Admin Only'!Q:R,2,0),"")</f>
        <v/>
      </c>
    </row>
    <row r="959" spans="14:15" ht="15.75" customHeight="1" x14ac:dyDescent="0.25">
      <c r="N959" s="7" t="s">
        <v>16</v>
      </c>
      <c r="O959" s="6" t="str">
        <f>IFERROR(VLOOKUP(K959,'2. Buzzi Admin Only'!Q:R,2,0),"")</f>
        <v/>
      </c>
    </row>
    <row r="960" spans="14:15" ht="15.75" customHeight="1" x14ac:dyDescent="0.25">
      <c r="N960" s="7" t="s">
        <v>16</v>
      </c>
      <c r="O960" s="6" t="str">
        <f>IFERROR(VLOOKUP(K960,'2. Buzzi Admin Only'!Q:R,2,0),"")</f>
        <v/>
      </c>
    </row>
    <row r="961" spans="14:15" ht="15.75" customHeight="1" x14ac:dyDescent="0.25">
      <c r="N961" s="7" t="s">
        <v>16</v>
      </c>
      <c r="O961" s="6" t="str">
        <f>IFERROR(VLOOKUP(K961,'2. Buzzi Admin Only'!Q:R,2,0),"")</f>
        <v/>
      </c>
    </row>
    <row r="962" spans="14:15" ht="15.75" customHeight="1" x14ac:dyDescent="0.25">
      <c r="N962" s="7" t="s">
        <v>16</v>
      </c>
      <c r="O962" s="6" t="str">
        <f>IFERROR(VLOOKUP(K962,'2. Buzzi Admin Only'!Q:R,2,0),"")</f>
        <v/>
      </c>
    </row>
    <row r="963" spans="14:15" ht="15.75" customHeight="1" x14ac:dyDescent="0.25">
      <c r="N963" s="7" t="s">
        <v>16</v>
      </c>
      <c r="O963" s="6" t="str">
        <f>IFERROR(VLOOKUP(K963,'2. Buzzi Admin Only'!Q:R,2,0),"")</f>
        <v/>
      </c>
    </row>
    <row r="964" spans="14:15" ht="15.75" customHeight="1" x14ac:dyDescent="0.25">
      <c r="N964" s="7" t="s">
        <v>16</v>
      </c>
      <c r="O964" s="6" t="str">
        <f>IFERROR(VLOOKUP(K964,'2. Buzzi Admin Only'!Q:R,2,0),"")</f>
        <v/>
      </c>
    </row>
    <row r="965" spans="14:15" ht="15.75" customHeight="1" x14ac:dyDescent="0.25">
      <c r="N965" s="7" t="s">
        <v>16</v>
      </c>
      <c r="O965" s="6" t="str">
        <f>IFERROR(VLOOKUP(K965,'2. Buzzi Admin Only'!Q:R,2,0),"")</f>
        <v/>
      </c>
    </row>
    <row r="966" spans="14:15" ht="15.75" customHeight="1" x14ac:dyDescent="0.25">
      <c r="N966" s="7" t="s">
        <v>16</v>
      </c>
      <c r="O966" s="6" t="str">
        <f>IFERROR(VLOOKUP(K966,'2. Buzzi Admin Only'!Q:R,2,0),"")</f>
        <v/>
      </c>
    </row>
    <row r="967" spans="14:15" ht="15.75" customHeight="1" x14ac:dyDescent="0.25">
      <c r="N967" s="7" t="s">
        <v>16</v>
      </c>
      <c r="O967" s="6" t="str">
        <f>IFERROR(VLOOKUP(K967,'2. Buzzi Admin Only'!Q:R,2,0),"")</f>
        <v/>
      </c>
    </row>
    <row r="968" spans="14:15" ht="15.75" customHeight="1" x14ac:dyDescent="0.25">
      <c r="N968" s="7" t="s">
        <v>16</v>
      </c>
      <c r="O968" s="6" t="str">
        <f>IFERROR(VLOOKUP(K968,'2. Buzzi Admin Only'!Q:R,2,0),"")</f>
        <v/>
      </c>
    </row>
    <row r="969" spans="14:15" ht="15.75" customHeight="1" x14ac:dyDescent="0.25">
      <c r="N969" s="7" t="s">
        <v>16</v>
      </c>
      <c r="O969" s="6" t="str">
        <f>IFERROR(VLOOKUP(K969,'2. Buzzi Admin Only'!Q:R,2,0),"")</f>
        <v/>
      </c>
    </row>
    <row r="970" spans="14:15" ht="15.75" customHeight="1" x14ac:dyDescent="0.25">
      <c r="N970" s="7" t="s">
        <v>16</v>
      </c>
      <c r="O970" s="6" t="str">
        <f>IFERROR(VLOOKUP(K970,'2. Buzzi Admin Only'!Q:R,2,0),"")</f>
        <v/>
      </c>
    </row>
    <row r="971" spans="14:15" ht="15.75" customHeight="1" x14ac:dyDescent="0.25">
      <c r="N971" s="7" t="s">
        <v>16</v>
      </c>
      <c r="O971" s="6" t="str">
        <f>IFERROR(VLOOKUP(K971,'2. Buzzi Admin Only'!Q:R,2,0),"")</f>
        <v/>
      </c>
    </row>
    <row r="972" spans="14:15" ht="15.75" customHeight="1" x14ac:dyDescent="0.25">
      <c r="N972" s="7" t="s">
        <v>16</v>
      </c>
      <c r="O972" s="6" t="str">
        <f>IFERROR(VLOOKUP(K972,'2. Buzzi Admin Only'!Q:R,2,0),"")</f>
        <v/>
      </c>
    </row>
    <row r="973" spans="14:15" ht="15.75" customHeight="1" x14ac:dyDescent="0.25">
      <c r="N973" s="7" t="s">
        <v>16</v>
      </c>
      <c r="O973" s="6" t="str">
        <f>IFERROR(VLOOKUP(K973,'2. Buzzi Admin Only'!Q:R,2,0),"")</f>
        <v/>
      </c>
    </row>
    <row r="974" spans="14:15" ht="15.75" customHeight="1" x14ac:dyDescent="0.25">
      <c r="N974" s="7" t="s">
        <v>16</v>
      </c>
      <c r="O974" s="6" t="str">
        <f>IFERROR(VLOOKUP(K974,'2. Buzzi Admin Only'!Q:R,2,0),"")</f>
        <v/>
      </c>
    </row>
    <row r="975" spans="14:15" ht="15.75" customHeight="1" x14ac:dyDescent="0.25">
      <c r="N975" s="7" t="s">
        <v>16</v>
      </c>
      <c r="O975" s="6" t="str">
        <f>IFERROR(VLOOKUP(K975,'2. Buzzi Admin Only'!Q:R,2,0),"")</f>
        <v/>
      </c>
    </row>
    <row r="976" spans="14:15" ht="15.75" customHeight="1" x14ac:dyDescent="0.25">
      <c r="N976" s="7" t="s">
        <v>16</v>
      </c>
      <c r="O976" s="6" t="str">
        <f>IFERROR(VLOOKUP(K976,'2. Buzzi Admin Only'!Q:R,2,0),"")</f>
        <v/>
      </c>
    </row>
    <row r="977" spans="14:15" ht="15.75" customHeight="1" x14ac:dyDescent="0.25">
      <c r="N977" s="7" t="s">
        <v>16</v>
      </c>
      <c r="O977" s="6" t="str">
        <f>IFERROR(VLOOKUP(K977,'2. Buzzi Admin Only'!Q:R,2,0),"")</f>
        <v/>
      </c>
    </row>
    <row r="978" spans="14:15" ht="15.75" customHeight="1" x14ac:dyDescent="0.25">
      <c r="N978" s="7" t="s">
        <v>16</v>
      </c>
      <c r="O978" s="6" t="str">
        <f>IFERROR(VLOOKUP(K978,'2. Buzzi Admin Only'!Q:R,2,0),"")</f>
        <v/>
      </c>
    </row>
    <row r="979" spans="14:15" ht="15.75" customHeight="1" x14ac:dyDescent="0.25">
      <c r="N979" s="7" t="s">
        <v>16</v>
      </c>
      <c r="O979" s="6" t="str">
        <f>IFERROR(VLOOKUP(K979,'2. Buzzi Admin Only'!Q:R,2,0),"")</f>
        <v/>
      </c>
    </row>
    <row r="980" spans="14:15" ht="15.75" customHeight="1" x14ac:dyDescent="0.25">
      <c r="N980" s="7" t="s">
        <v>16</v>
      </c>
      <c r="O980" s="6" t="str">
        <f>IFERROR(VLOOKUP(K980,'2. Buzzi Admin Only'!Q:R,2,0),"")</f>
        <v/>
      </c>
    </row>
    <row r="981" spans="14:15" ht="15.75" customHeight="1" x14ac:dyDescent="0.25">
      <c r="N981" s="7" t="s">
        <v>16</v>
      </c>
      <c r="O981" s="6" t="str">
        <f>IFERROR(VLOOKUP(K981,'2. Buzzi Admin Only'!Q:R,2,0),"")</f>
        <v/>
      </c>
    </row>
    <row r="982" spans="14:15" ht="15.75" customHeight="1" x14ac:dyDescent="0.25">
      <c r="N982" s="7" t="s">
        <v>16</v>
      </c>
      <c r="O982" s="6" t="str">
        <f>IFERROR(VLOOKUP(K982,'2. Buzzi Admin Only'!Q:R,2,0),"")</f>
        <v/>
      </c>
    </row>
    <row r="983" spans="14:15" ht="15.75" customHeight="1" x14ac:dyDescent="0.25">
      <c r="N983" s="7" t="s">
        <v>16</v>
      </c>
      <c r="O983" s="6" t="str">
        <f>IFERROR(VLOOKUP(K983,'2. Buzzi Admin Only'!Q:R,2,0),"")</f>
        <v/>
      </c>
    </row>
    <row r="984" spans="14:15" ht="15.75" customHeight="1" x14ac:dyDescent="0.25">
      <c r="N984" s="7" t="s">
        <v>16</v>
      </c>
      <c r="O984" s="6" t="str">
        <f>IFERROR(VLOOKUP(K984,'2. Buzzi Admin Only'!Q:R,2,0),"")</f>
        <v/>
      </c>
    </row>
    <row r="985" spans="14:15" ht="15.75" customHeight="1" x14ac:dyDescent="0.25">
      <c r="N985" s="7" t="s">
        <v>16</v>
      </c>
      <c r="O985" s="6" t="str">
        <f>IFERROR(VLOOKUP(K985,'2. Buzzi Admin Only'!Q:R,2,0),"")</f>
        <v/>
      </c>
    </row>
    <row r="986" spans="14:15" ht="15.75" customHeight="1" x14ac:dyDescent="0.25">
      <c r="N986" s="7" t="s">
        <v>16</v>
      </c>
      <c r="O986" s="6" t="str">
        <f>IFERROR(VLOOKUP(K986,'2. Buzzi Admin Only'!Q:R,2,0),"")</f>
        <v/>
      </c>
    </row>
    <row r="987" spans="14:15" ht="15.75" customHeight="1" x14ac:dyDescent="0.25">
      <c r="N987" s="7" t="s">
        <v>16</v>
      </c>
      <c r="O987" s="6" t="str">
        <f>IFERROR(VLOOKUP(K987,'2. Buzzi Admin Only'!Q:R,2,0),"")</f>
        <v/>
      </c>
    </row>
    <row r="988" spans="14:15" ht="15.75" customHeight="1" x14ac:dyDescent="0.25">
      <c r="N988" s="7" t="s">
        <v>16</v>
      </c>
      <c r="O988" s="6" t="str">
        <f>IFERROR(VLOOKUP(K988,'2. Buzzi Admin Only'!Q:R,2,0),"")</f>
        <v/>
      </c>
    </row>
    <row r="989" spans="14:15" ht="15.75" customHeight="1" x14ac:dyDescent="0.25">
      <c r="N989" s="7" t="s">
        <v>16</v>
      </c>
      <c r="O989" s="6" t="str">
        <f>IFERROR(VLOOKUP(K989,'2. Buzzi Admin Only'!Q:R,2,0),"")</f>
        <v/>
      </c>
    </row>
    <row r="990" spans="14:15" ht="15.75" customHeight="1" x14ac:dyDescent="0.25">
      <c r="N990" s="7" t="s">
        <v>16</v>
      </c>
      <c r="O990" s="6" t="str">
        <f>IFERROR(VLOOKUP(K990,'2. Buzzi Admin Only'!Q:R,2,0),"")</f>
        <v/>
      </c>
    </row>
    <row r="991" spans="14:15" ht="15.75" customHeight="1" x14ac:dyDescent="0.25">
      <c r="N991" s="7" t="s">
        <v>16</v>
      </c>
      <c r="O991" s="6" t="str">
        <f>IFERROR(VLOOKUP(K991,'2. Buzzi Admin Only'!Q:R,2,0),"")</f>
        <v/>
      </c>
    </row>
    <row r="992" spans="14:15" ht="15.75" customHeight="1" x14ac:dyDescent="0.25">
      <c r="N992" s="7" t="s">
        <v>16</v>
      </c>
      <c r="O992" s="6" t="str">
        <f>IFERROR(VLOOKUP(K992,'2. Buzzi Admin Only'!Q:R,2,0),"")</f>
        <v/>
      </c>
    </row>
    <row r="993" spans="14:15" ht="15.75" customHeight="1" x14ac:dyDescent="0.25">
      <c r="N993" s="7" t="s">
        <v>16</v>
      </c>
      <c r="O993" s="6" t="str">
        <f>IFERROR(VLOOKUP(K993,'2. Buzzi Admin Only'!Q:R,2,0),"")</f>
        <v/>
      </c>
    </row>
    <row r="994" spans="14:15" ht="15.75" customHeight="1" x14ac:dyDescent="0.25">
      <c r="N994" s="7" t="s">
        <v>16</v>
      </c>
      <c r="O994" s="6" t="str">
        <f>IFERROR(VLOOKUP(K994,'2. Buzzi Admin Only'!Q:R,2,0),"")</f>
        <v/>
      </c>
    </row>
    <row r="995" spans="14:15" ht="15.75" customHeight="1" x14ac:dyDescent="0.25">
      <c r="N995" s="7" t="s">
        <v>16</v>
      </c>
      <c r="O995" s="6" t="str">
        <f>IFERROR(VLOOKUP(K995,'2. Buzzi Admin Only'!Q:R,2,0),"")</f>
        <v/>
      </c>
    </row>
    <row r="996" spans="14:15" ht="15.75" customHeight="1" x14ac:dyDescent="0.25">
      <c r="N996" s="7" t="s">
        <v>16</v>
      </c>
      <c r="O996" s="6" t="str">
        <f>IFERROR(VLOOKUP(K996,'2. Buzzi Admin Only'!Q:R,2,0),"")</f>
        <v/>
      </c>
    </row>
    <row r="997" spans="14:15" ht="15.75" customHeight="1" x14ac:dyDescent="0.25">
      <c r="N997" s="7" t="s">
        <v>16</v>
      </c>
      <c r="O997" s="6" t="str">
        <f>IFERROR(VLOOKUP(K997,'2. Buzzi Admin Only'!Q:R,2,0),"")</f>
        <v/>
      </c>
    </row>
    <row r="998" spans="14:15" ht="15.75" customHeight="1" x14ac:dyDescent="0.25">
      <c r="N998" s="7" t="s">
        <v>16</v>
      </c>
      <c r="O998" s="6" t="str">
        <f>IFERROR(VLOOKUP(K998,'2. Buzzi Admin Only'!Q:R,2,0),"")</f>
        <v/>
      </c>
    </row>
    <row r="999" spans="14:15" ht="15.75" customHeight="1" x14ac:dyDescent="0.25">
      <c r="N999" s="7" t="s">
        <v>16</v>
      </c>
      <c r="O999" s="6" t="str">
        <f>IFERROR(VLOOKUP(K999,'2. Buzzi Admin Only'!Q:R,2,0),"")</f>
        <v/>
      </c>
    </row>
    <row r="1000" spans="14:15" ht="15.75" customHeight="1" x14ac:dyDescent="0.25">
      <c r="N1000" s="7" t="s">
        <v>16</v>
      </c>
      <c r="O1000" s="6" t="str">
        <f>IFERROR(VLOOKUP(K1000,'2. Buzzi Admin Only'!Q:R,2,0),"")</f>
        <v/>
      </c>
    </row>
    <row r="1001" spans="14:15" ht="15.75" customHeight="1" x14ac:dyDescent="0.25">
      <c r="N1001" s="7" t="s">
        <v>16</v>
      </c>
      <c r="O1001" s="6" t="str">
        <f>IFERROR(VLOOKUP(K1001,'2. Buzzi Admin Only'!Q:R,2,0),"")</f>
        <v/>
      </c>
    </row>
    <row r="1002" spans="14:15" ht="15.75" customHeight="1" x14ac:dyDescent="0.25">
      <c r="N1002" s="7" t="s">
        <v>16</v>
      </c>
      <c r="O1002" s="6" t="str">
        <f>IFERROR(VLOOKUP(K1002,'2. Buzzi Admin Only'!Q:R,2,0),"")</f>
        <v/>
      </c>
    </row>
    <row r="1003" spans="14:15" ht="15.75" customHeight="1" x14ac:dyDescent="0.25">
      <c r="N1003" s="7" t="s">
        <v>16</v>
      </c>
      <c r="O1003" s="6" t="str">
        <f>IFERROR(VLOOKUP(K1003,'2. Buzzi Admin Only'!Q:R,2,0),"")</f>
        <v/>
      </c>
    </row>
    <row r="1004" spans="14:15" ht="15.75" customHeight="1" x14ac:dyDescent="0.25">
      <c r="N1004" s="7" t="s">
        <v>16</v>
      </c>
      <c r="O1004" s="6" t="str">
        <f>IFERROR(VLOOKUP(K1004,'2. Buzzi Admin Only'!Q:R,2,0),"")</f>
        <v/>
      </c>
    </row>
    <row r="1005" spans="14:15" ht="15.75" customHeight="1" x14ac:dyDescent="0.25">
      <c r="N1005" s="7" t="s">
        <v>16</v>
      </c>
      <c r="O1005" s="6" t="str">
        <f>IFERROR(VLOOKUP(K1005,'2. Buzzi Admin Only'!Q:R,2,0),"")</f>
        <v/>
      </c>
    </row>
    <row r="1006" spans="14:15" ht="15.75" customHeight="1" x14ac:dyDescent="0.25">
      <c r="N1006" s="7" t="s">
        <v>16</v>
      </c>
      <c r="O1006" s="6" t="str">
        <f>IFERROR(VLOOKUP(K1006,'2. Buzzi Admin Only'!Q:R,2,0),"")</f>
        <v/>
      </c>
    </row>
    <row r="1007" spans="14:15" ht="15.75" customHeight="1" x14ac:dyDescent="0.25">
      <c r="N1007" s="7" t="s">
        <v>16</v>
      </c>
      <c r="O1007" s="6" t="str">
        <f>IFERROR(VLOOKUP(K1007,'2. Buzzi Admin Only'!Q:R,2,0),"")</f>
        <v/>
      </c>
    </row>
    <row r="1008" spans="14:15" ht="15.75" customHeight="1" x14ac:dyDescent="0.25">
      <c r="N1008" s="7" t="s">
        <v>16</v>
      </c>
      <c r="O1008" s="6" t="str">
        <f>IFERROR(VLOOKUP(K1008,'2. Buzzi Admin Only'!Q:R,2,0),"")</f>
        <v/>
      </c>
    </row>
    <row r="1009" spans="14:15" ht="15.75" customHeight="1" x14ac:dyDescent="0.25">
      <c r="N1009" s="7" t="s">
        <v>16</v>
      </c>
      <c r="O1009" s="6" t="str">
        <f>IFERROR(VLOOKUP(K1009,'2. Buzzi Admin Only'!Q:R,2,0),"")</f>
        <v/>
      </c>
    </row>
    <row r="1010" spans="14:15" ht="15.75" customHeight="1" x14ac:dyDescent="0.25">
      <c r="N1010" s="7" t="s">
        <v>16</v>
      </c>
      <c r="O1010" s="6" t="str">
        <f>IFERROR(VLOOKUP(K1010,'2. Buzzi Admin Only'!Q:R,2,0),"")</f>
        <v/>
      </c>
    </row>
    <row r="1011" spans="14:15" ht="15.75" customHeight="1" x14ac:dyDescent="0.25">
      <c r="N1011" s="7" t="s">
        <v>16</v>
      </c>
      <c r="O1011" s="6" t="str">
        <f>IFERROR(VLOOKUP(K1011,'2. Buzzi Admin Only'!Q:R,2,0),"")</f>
        <v/>
      </c>
    </row>
    <row r="1012" spans="14:15" ht="15.75" customHeight="1" x14ac:dyDescent="0.25">
      <c r="N1012" s="7" t="s">
        <v>16</v>
      </c>
      <c r="O1012" s="6" t="str">
        <f>IFERROR(VLOOKUP(K1012,'2. Buzzi Admin Only'!Q:R,2,0),"")</f>
        <v/>
      </c>
    </row>
    <row r="1013" spans="14:15" ht="15.75" customHeight="1" x14ac:dyDescent="0.25">
      <c r="N1013" s="7" t="s">
        <v>16</v>
      </c>
      <c r="O1013" s="6" t="str">
        <f>IFERROR(VLOOKUP(K1013,'2. Buzzi Admin Only'!Q:R,2,0),"")</f>
        <v/>
      </c>
    </row>
    <row r="1014" spans="14:15" ht="15.75" customHeight="1" x14ac:dyDescent="0.25">
      <c r="N1014" s="7" t="s">
        <v>16</v>
      </c>
      <c r="O1014" s="6" t="str">
        <f>IFERROR(VLOOKUP(K1014,'2. Buzzi Admin Only'!Q:R,2,0),"")</f>
        <v/>
      </c>
    </row>
    <row r="1015" spans="14:15" ht="15.75" customHeight="1" x14ac:dyDescent="0.25">
      <c r="N1015" s="7" t="s">
        <v>16</v>
      </c>
      <c r="O1015" s="6" t="str">
        <f>IFERROR(VLOOKUP(K1015,'2. Buzzi Admin Only'!Q:R,2,0),"")</f>
        <v/>
      </c>
    </row>
    <row r="1016" spans="14:15" ht="15.75" customHeight="1" x14ac:dyDescent="0.25">
      <c r="N1016" s="7" t="s">
        <v>16</v>
      </c>
      <c r="O1016" s="6" t="str">
        <f>IFERROR(VLOOKUP(K1016,'2. Buzzi Admin Only'!Q:R,2,0),"")</f>
        <v/>
      </c>
    </row>
    <row r="1017" spans="14:15" ht="15.75" customHeight="1" x14ac:dyDescent="0.25">
      <c r="N1017" s="7" t="s">
        <v>16</v>
      </c>
      <c r="O1017" s="6" t="str">
        <f>IFERROR(VLOOKUP(K1017,'2. Buzzi Admin Only'!Q:R,2,0),"")</f>
        <v/>
      </c>
    </row>
    <row r="1018" spans="14:15" ht="15.75" customHeight="1" x14ac:dyDescent="0.25">
      <c r="N1018" s="7" t="s">
        <v>16</v>
      </c>
      <c r="O1018" s="6" t="str">
        <f>IFERROR(VLOOKUP(K1018,'2. Buzzi Admin Only'!Q:R,2,0),"")</f>
        <v/>
      </c>
    </row>
    <row r="1019" spans="14:15" ht="15.75" customHeight="1" x14ac:dyDescent="0.25">
      <c r="N1019" s="7" t="s">
        <v>16</v>
      </c>
      <c r="O1019" s="6" t="str">
        <f>IFERROR(VLOOKUP(K1019,'2. Buzzi Admin Only'!Q:R,2,0),"")</f>
        <v/>
      </c>
    </row>
    <row r="1020" spans="14:15" ht="15.75" customHeight="1" x14ac:dyDescent="0.25">
      <c r="N1020" s="7" t="s">
        <v>16</v>
      </c>
      <c r="O1020" s="6" t="str">
        <f>IFERROR(VLOOKUP(K1020,'2. Buzzi Admin Only'!Q:R,2,0),"")</f>
        <v/>
      </c>
    </row>
    <row r="1021" spans="14:15" ht="15.75" customHeight="1" x14ac:dyDescent="0.25">
      <c r="N1021" s="7" t="s">
        <v>16</v>
      </c>
      <c r="O1021" s="6" t="str">
        <f>IFERROR(VLOOKUP(K1021,'2. Buzzi Admin Only'!Q:R,2,0),"")</f>
        <v/>
      </c>
    </row>
    <row r="1022" spans="14:15" ht="15.75" customHeight="1" x14ac:dyDescent="0.25">
      <c r="N1022" s="7" t="s">
        <v>16</v>
      </c>
      <c r="O1022" s="6" t="str">
        <f>IFERROR(VLOOKUP(K1022,'2. Buzzi Admin Only'!Q:R,2,0),"")</f>
        <v/>
      </c>
    </row>
    <row r="1023" spans="14:15" ht="15.75" customHeight="1" x14ac:dyDescent="0.25">
      <c r="N1023" s="7" t="s">
        <v>16</v>
      </c>
      <c r="O1023" s="6" t="str">
        <f>IFERROR(VLOOKUP(K1023,'2. Buzzi Admin Only'!Q:R,2,0),"")</f>
        <v/>
      </c>
    </row>
    <row r="1024" spans="14:15" ht="15.75" customHeight="1" x14ac:dyDescent="0.25">
      <c r="N1024" s="7" t="s">
        <v>16</v>
      </c>
      <c r="O1024" s="6" t="str">
        <f>IFERROR(VLOOKUP(K1024,'2. Buzzi Admin Only'!Q:R,2,0),"")</f>
        <v/>
      </c>
    </row>
    <row r="1025" spans="14:15" ht="15.75" customHeight="1" x14ac:dyDescent="0.25">
      <c r="N1025" s="7" t="s">
        <v>16</v>
      </c>
      <c r="O1025" s="6" t="str">
        <f>IFERROR(VLOOKUP(K1025,'2. Buzzi Admin Only'!Q:R,2,0),"")</f>
        <v/>
      </c>
    </row>
    <row r="1026" spans="14:15" ht="15.75" customHeight="1" x14ac:dyDescent="0.25">
      <c r="N1026" s="7" t="s">
        <v>16</v>
      </c>
      <c r="O1026" s="6" t="str">
        <f>IFERROR(VLOOKUP(K1026,'2. Buzzi Admin Only'!Q:R,2,0),"")</f>
        <v/>
      </c>
    </row>
    <row r="1027" spans="14:15" ht="15.75" customHeight="1" x14ac:dyDescent="0.25">
      <c r="N1027" s="7" t="s">
        <v>16</v>
      </c>
      <c r="O1027" s="6" t="str">
        <f>IFERROR(VLOOKUP(K1027,'2. Buzzi Admin Only'!Q:R,2,0),"")</f>
        <v/>
      </c>
    </row>
    <row r="1028" spans="14:15" ht="15.75" customHeight="1" x14ac:dyDescent="0.25">
      <c r="N1028" s="7" t="s">
        <v>16</v>
      </c>
      <c r="O1028" s="6" t="str">
        <f>IFERROR(VLOOKUP(K1028,'2. Buzzi Admin Only'!Q:R,2,0),"")</f>
        <v/>
      </c>
    </row>
    <row r="1029" spans="14:15" ht="15.75" customHeight="1" x14ac:dyDescent="0.25">
      <c r="N1029" s="7" t="s">
        <v>16</v>
      </c>
      <c r="O1029" s="6" t="str">
        <f>IFERROR(VLOOKUP(K1029,'2. Buzzi Admin Only'!Q:R,2,0),"")</f>
        <v/>
      </c>
    </row>
    <row r="1030" spans="14:15" ht="15.75" customHeight="1" x14ac:dyDescent="0.25">
      <c r="N1030" s="7" t="s">
        <v>16</v>
      </c>
      <c r="O1030" s="6" t="str">
        <f>IFERROR(VLOOKUP(K1030,'2. Buzzi Admin Only'!Q:R,2,0),"")</f>
        <v/>
      </c>
    </row>
    <row r="1031" spans="14:15" ht="15.75" customHeight="1" x14ac:dyDescent="0.25">
      <c r="N1031" s="7" t="s">
        <v>16</v>
      </c>
      <c r="O1031" s="6" t="str">
        <f>IFERROR(VLOOKUP(K1031,'2. Buzzi Admin Only'!Q:R,2,0),"")</f>
        <v/>
      </c>
    </row>
    <row r="1032" spans="14:15" ht="15.75" customHeight="1" x14ac:dyDescent="0.25">
      <c r="N1032" s="7" t="s">
        <v>16</v>
      </c>
      <c r="O1032" s="6" t="str">
        <f>IFERROR(VLOOKUP(K1032,'2. Buzzi Admin Only'!Q:R,2,0),"")</f>
        <v/>
      </c>
    </row>
    <row r="1033" spans="14:15" ht="15.75" customHeight="1" x14ac:dyDescent="0.25">
      <c r="N1033" s="7" t="s">
        <v>16</v>
      </c>
      <c r="O1033" s="6" t="str">
        <f>IFERROR(VLOOKUP(K1033,'2. Buzzi Admin Only'!Q:R,2,0),"")</f>
        <v/>
      </c>
    </row>
    <row r="1034" spans="14:15" ht="15.75" customHeight="1" x14ac:dyDescent="0.25">
      <c r="N1034" s="7" t="s">
        <v>16</v>
      </c>
      <c r="O1034" s="6" t="str">
        <f>IFERROR(VLOOKUP(K1034,'2. Buzzi Admin Only'!Q:R,2,0),"")</f>
        <v/>
      </c>
    </row>
    <row r="1035" spans="14:15" ht="15.75" customHeight="1" x14ac:dyDescent="0.25">
      <c r="N1035" s="7" t="s">
        <v>16</v>
      </c>
      <c r="O1035" s="6" t="str">
        <f>IFERROR(VLOOKUP(K1035,'2. Buzzi Admin Only'!Q:R,2,0),"")</f>
        <v/>
      </c>
    </row>
    <row r="1036" spans="14:15" ht="15.75" customHeight="1" x14ac:dyDescent="0.25">
      <c r="N1036" s="7" t="s">
        <v>16</v>
      </c>
      <c r="O1036" s="6" t="str">
        <f>IFERROR(VLOOKUP(K1036,'2. Buzzi Admin Only'!Q:R,2,0),"")</f>
        <v/>
      </c>
    </row>
    <row r="1037" spans="14:15" ht="15.75" customHeight="1" x14ac:dyDescent="0.25">
      <c r="N1037" s="7" t="s">
        <v>16</v>
      </c>
      <c r="O1037" s="6" t="str">
        <f>IFERROR(VLOOKUP(K1037,'2. Buzzi Admin Only'!Q:R,2,0),"")</f>
        <v/>
      </c>
    </row>
    <row r="1038" spans="14:15" ht="15.75" customHeight="1" x14ac:dyDescent="0.25">
      <c r="N1038" s="7" t="s">
        <v>16</v>
      </c>
      <c r="O1038" s="6" t="str">
        <f>IFERROR(VLOOKUP(K1038,'2. Buzzi Admin Only'!Q:R,2,0),"")</f>
        <v/>
      </c>
    </row>
    <row r="1039" spans="14:15" ht="15.75" customHeight="1" x14ac:dyDescent="0.25">
      <c r="N1039" s="7" t="s">
        <v>16</v>
      </c>
      <c r="O1039" s="6" t="str">
        <f>IFERROR(VLOOKUP(K1039,'2. Buzzi Admin Only'!Q:R,2,0),"")</f>
        <v/>
      </c>
    </row>
    <row r="1040" spans="14:15" ht="15.75" customHeight="1" x14ac:dyDescent="0.25">
      <c r="N1040" s="7" t="s">
        <v>16</v>
      </c>
      <c r="O1040" s="6" t="str">
        <f>IFERROR(VLOOKUP(K1040,'2. Buzzi Admin Only'!Q:R,2,0),"")</f>
        <v/>
      </c>
    </row>
    <row r="1041" spans="14:15" ht="15.75" customHeight="1" x14ac:dyDescent="0.25">
      <c r="N1041" s="7" t="s">
        <v>16</v>
      </c>
      <c r="O1041" s="6" t="str">
        <f>IFERROR(VLOOKUP(K1041,'2. Buzzi Admin Only'!Q:R,2,0),"")</f>
        <v/>
      </c>
    </row>
    <row r="1042" spans="14:15" ht="15.75" customHeight="1" x14ac:dyDescent="0.25">
      <c r="N1042" s="7" t="s">
        <v>16</v>
      </c>
      <c r="O1042" s="6" t="str">
        <f>IFERROR(VLOOKUP(K1042,'2. Buzzi Admin Only'!Q:R,2,0),"")</f>
        <v/>
      </c>
    </row>
    <row r="1043" spans="14:15" ht="15.75" customHeight="1" x14ac:dyDescent="0.25">
      <c r="N1043" s="7" t="s">
        <v>16</v>
      </c>
      <c r="O1043" s="6" t="str">
        <f>IFERROR(VLOOKUP(K1043,'2. Buzzi Admin Only'!Q:R,2,0),"")</f>
        <v/>
      </c>
    </row>
    <row r="1044" spans="14:15" ht="15.75" customHeight="1" x14ac:dyDescent="0.25">
      <c r="N1044" s="7" t="s">
        <v>16</v>
      </c>
      <c r="O1044" s="6" t="str">
        <f>IFERROR(VLOOKUP(K1044,'2. Buzzi Admin Only'!Q:R,2,0),"")</f>
        <v/>
      </c>
    </row>
    <row r="1045" spans="14:15" ht="15.75" customHeight="1" x14ac:dyDescent="0.25">
      <c r="N1045" s="7" t="s">
        <v>16</v>
      </c>
      <c r="O1045" s="6" t="str">
        <f>IFERROR(VLOOKUP(K1045,'2. Buzzi Admin Only'!Q:R,2,0),"")</f>
        <v/>
      </c>
    </row>
    <row r="1046" spans="14:15" ht="15.75" customHeight="1" x14ac:dyDescent="0.25">
      <c r="N1046" s="7" t="s">
        <v>16</v>
      </c>
      <c r="O1046" s="6" t="str">
        <f>IFERROR(VLOOKUP(K1046,'2. Buzzi Admin Only'!Q:R,2,0),"")</f>
        <v/>
      </c>
    </row>
    <row r="1047" spans="14:15" ht="15.75" customHeight="1" x14ac:dyDescent="0.25">
      <c r="N1047" s="7" t="s">
        <v>16</v>
      </c>
      <c r="O1047" s="6" t="str">
        <f>IFERROR(VLOOKUP(K1047,'2. Buzzi Admin Only'!Q:R,2,0),"")</f>
        <v/>
      </c>
    </row>
    <row r="1048" spans="14:15" ht="15.75" customHeight="1" x14ac:dyDescent="0.25">
      <c r="N1048" s="7" t="s">
        <v>16</v>
      </c>
      <c r="O1048" s="6" t="str">
        <f>IFERROR(VLOOKUP(K1048,'2. Buzzi Admin Only'!Q:R,2,0),"")</f>
        <v/>
      </c>
    </row>
    <row r="1049" spans="14:15" ht="15.75" customHeight="1" x14ac:dyDescent="0.25">
      <c r="N1049" s="7" t="s">
        <v>16</v>
      </c>
      <c r="O1049" s="6" t="str">
        <f>IFERROR(VLOOKUP(K1049,'2. Buzzi Admin Only'!Q:R,2,0),"")</f>
        <v/>
      </c>
    </row>
    <row r="1050" spans="14:15" ht="15.75" customHeight="1" x14ac:dyDescent="0.25">
      <c r="N1050" s="7" t="s">
        <v>16</v>
      </c>
      <c r="O1050" s="6" t="str">
        <f>IFERROR(VLOOKUP(K1050,'2. Buzzi Admin Only'!Q:R,2,0),"")</f>
        <v/>
      </c>
    </row>
    <row r="1051" spans="14:15" ht="15.75" customHeight="1" x14ac:dyDescent="0.25">
      <c r="N1051" s="7" t="s">
        <v>16</v>
      </c>
      <c r="O1051" s="6" t="str">
        <f>IFERROR(VLOOKUP(K1051,'2. Buzzi Admin Only'!Q:R,2,0),"")</f>
        <v/>
      </c>
    </row>
    <row r="1052" spans="14:15" ht="15.75" customHeight="1" x14ac:dyDescent="0.25">
      <c r="N1052" s="7" t="s">
        <v>16</v>
      </c>
      <c r="O1052" s="6" t="str">
        <f>IFERROR(VLOOKUP(K1052,'2. Buzzi Admin Only'!Q:R,2,0),"")</f>
        <v/>
      </c>
    </row>
    <row r="1053" spans="14:15" ht="15.75" customHeight="1" x14ac:dyDescent="0.25">
      <c r="N1053" s="7" t="s">
        <v>16</v>
      </c>
      <c r="O1053" s="6" t="str">
        <f>IFERROR(VLOOKUP(K1053,'2. Buzzi Admin Only'!Q:R,2,0),"")</f>
        <v/>
      </c>
    </row>
    <row r="1054" spans="14:15" ht="15.75" customHeight="1" x14ac:dyDescent="0.25">
      <c r="N1054" s="7" t="s">
        <v>16</v>
      </c>
      <c r="O1054" s="6" t="str">
        <f>IFERROR(VLOOKUP(K1054,'2. Buzzi Admin Only'!Q:R,2,0),"")</f>
        <v/>
      </c>
    </row>
    <row r="1055" spans="14:15" ht="15.75" customHeight="1" x14ac:dyDescent="0.25">
      <c r="N1055" s="7" t="s">
        <v>16</v>
      </c>
      <c r="O1055" s="6" t="str">
        <f>IFERROR(VLOOKUP(K1055,'2. Buzzi Admin Only'!Q:R,2,0),"")</f>
        <v/>
      </c>
    </row>
    <row r="1056" spans="14:15" ht="15.75" customHeight="1" x14ac:dyDescent="0.25">
      <c r="N1056" s="7" t="s">
        <v>16</v>
      </c>
      <c r="O1056" s="6" t="str">
        <f>IFERROR(VLOOKUP(K1056,'2. Buzzi Admin Only'!Q:R,2,0),"")</f>
        <v/>
      </c>
    </row>
    <row r="1057" spans="14:15" ht="15.75" customHeight="1" x14ac:dyDescent="0.25">
      <c r="N1057" s="7" t="s">
        <v>16</v>
      </c>
      <c r="O1057" s="6" t="str">
        <f>IFERROR(VLOOKUP(K1057,'2. Buzzi Admin Only'!Q:R,2,0),"")</f>
        <v/>
      </c>
    </row>
    <row r="1058" spans="14:15" ht="15.75" customHeight="1" x14ac:dyDescent="0.25">
      <c r="N1058" s="7" t="s">
        <v>16</v>
      </c>
      <c r="O1058" s="6" t="str">
        <f>IFERROR(VLOOKUP(K1058,'2. Buzzi Admin Only'!Q:R,2,0),"")</f>
        <v/>
      </c>
    </row>
    <row r="1059" spans="14:15" ht="15.75" customHeight="1" x14ac:dyDescent="0.25">
      <c r="N1059" s="7" t="s">
        <v>16</v>
      </c>
      <c r="O1059" s="6" t="str">
        <f>IFERROR(VLOOKUP(K1059,'2. Buzzi Admin Only'!Q:R,2,0),"")</f>
        <v/>
      </c>
    </row>
    <row r="1060" spans="14:15" ht="15.75" customHeight="1" x14ac:dyDescent="0.25">
      <c r="N1060" s="7" t="s">
        <v>16</v>
      </c>
      <c r="O1060" s="6" t="str">
        <f>IFERROR(VLOOKUP(K1060,'2. Buzzi Admin Only'!Q:R,2,0),"")</f>
        <v/>
      </c>
    </row>
    <row r="1061" spans="14:15" ht="15.75" customHeight="1" x14ac:dyDescent="0.25">
      <c r="N1061" s="7" t="s">
        <v>16</v>
      </c>
      <c r="O1061" s="6" t="str">
        <f>IFERROR(VLOOKUP(K1061,'2. Buzzi Admin Only'!Q:R,2,0),"")</f>
        <v/>
      </c>
    </row>
    <row r="1062" spans="14:15" ht="15.75" customHeight="1" x14ac:dyDescent="0.25">
      <c r="N1062" s="7" t="s">
        <v>16</v>
      </c>
      <c r="O1062" s="6" t="str">
        <f>IFERROR(VLOOKUP(K1062,'2. Buzzi Admin Only'!Q:R,2,0),"")</f>
        <v/>
      </c>
    </row>
    <row r="1063" spans="14:15" ht="15.75" customHeight="1" x14ac:dyDescent="0.25">
      <c r="N1063" s="7" t="s">
        <v>16</v>
      </c>
      <c r="O1063" s="6" t="str">
        <f>IFERROR(VLOOKUP(K1063,'2. Buzzi Admin Only'!Q:R,2,0),"")</f>
        <v/>
      </c>
    </row>
    <row r="1064" spans="14:15" ht="15.75" customHeight="1" x14ac:dyDescent="0.25">
      <c r="N1064" s="7" t="s">
        <v>16</v>
      </c>
      <c r="O1064" s="6" t="str">
        <f>IFERROR(VLOOKUP(K1064,'2. Buzzi Admin Only'!Q:R,2,0),"")</f>
        <v/>
      </c>
    </row>
    <row r="1065" spans="14:15" ht="15.75" customHeight="1" x14ac:dyDescent="0.25">
      <c r="N1065" s="7" t="s">
        <v>16</v>
      </c>
      <c r="O1065" s="6" t="str">
        <f>IFERROR(VLOOKUP(K1065,'2. Buzzi Admin Only'!Q:R,2,0),"")</f>
        <v/>
      </c>
    </row>
    <row r="1066" spans="14:15" ht="15.75" customHeight="1" x14ac:dyDescent="0.25">
      <c r="N1066" s="7" t="s">
        <v>16</v>
      </c>
      <c r="O1066" s="6" t="str">
        <f>IFERROR(VLOOKUP(K1066,'2. Buzzi Admin Only'!Q:R,2,0),"")</f>
        <v/>
      </c>
    </row>
    <row r="1067" spans="14:15" ht="15.75" customHeight="1" x14ac:dyDescent="0.25">
      <c r="N1067" s="7" t="s">
        <v>16</v>
      </c>
      <c r="O1067" s="7" t="s">
        <v>16</v>
      </c>
    </row>
    <row r="1068" spans="14:15" ht="15.75" customHeight="1" x14ac:dyDescent="0.25">
      <c r="N1068" s="7" t="s">
        <v>16</v>
      </c>
      <c r="O1068" s="7" t="s">
        <v>16</v>
      </c>
    </row>
    <row r="1069" spans="14:15" ht="15.75" customHeight="1" x14ac:dyDescent="0.25">
      <c r="N1069" s="7" t="s">
        <v>16</v>
      </c>
      <c r="O1069" s="7" t="s">
        <v>16</v>
      </c>
    </row>
    <row r="1070" spans="14:15" ht="15.75" customHeight="1" x14ac:dyDescent="0.25">
      <c r="N1070" s="7" t="s">
        <v>16</v>
      </c>
      <c r="O1070" s="7" t="s">
        <v>16</v>
      </c>
    </row>
    <row r="1071" spans="14:15" ht="15.75" customHeight="1" x14ac:dyDescent="0.25">
      <c r="N1071" s="7" t="s">
        <v>16</v>
      </c>
      <c r="O1071" s="7" t="s">
        <v>16</v>
      </c>
    </row>
    <row r="1072" spans="14:15" ht="15.75" customHeight="1" x14ac:dyDescent="0.25">
      <c r="N1072" s="7" t="s">
        <v>16</v>
      </c>
      <c r="O1072" s="7" t="s">
        <v>16</v>
      </c>
    </row>
    <row r="1073" spans="15:15" x14ac:dyDescent="0.25">
      <c r="O1073" s="7"/>
    </row>
    <row r="1074" spans="15:15" x14ac:dyDescent="0.25">
      <c r="O1074" s="7"/>
    </row>
    <row r="1075" spans="15:15" x14ac:dyDescent="0.25">
      <c r="O1075" s="7"/>
    </row>
    <row r="1076" spans="15:15" x14ac:dyDescent="0.25">
      <c r="O1076" s="7"/>
    </row>
    <row r="1077" spans="15:15" x14ac:dyDescent="0.25">
      <c r="O1077" s="7"/>
    </row>
    <row r="1078" spans="15:15" x14ac:dyDescent="0.25">
      <c r="O1078" s="7"/>
    </row>
    <row r="1079" spans="15:15" x14ac:dyDescent="0.25">
      <c r="O1079" s="7"/>
    </row>
    <row r="1080" spans="15:15" x14ac:dyDescent="0.25">
      <c r="O1080" s="7"/>
    </row>
    <row r="1081" spans="15:15" x14ac:dyDescent="0.25">
      <c r="O1081" s="7"/>
    </row>
    <row r="1082" spans="15:15" x14ac:dyDescent="0.25">
      <c r="O1082" s="7"/>
    </row>
    <row r="1083" spans="15:15" x14ac:dyDescent="0.25">
      <c r="O1083" s="7"/>
    </row>
    <row r="1084" spans="15:15" x14ac:dyDescent="0.25">
      <c r="O1084" s="7"/>
    </row>
    <row r="1085" spans="15:15" x14ac:dyDescent="0.25">
      <c r="O1085" s="7"/>
    </row>
    <row r="1086" spans="15:15" x14ac:dyDescent="0.25">
      <c r="O1086" s="7"/>
    </row>
    <row r="1087" spans="15:15" x14ac:dyDescent="0.25">
      <c r="O1087" s="7"/>
    </row>
    <row r="1088" spans="15:15" x14ac:dyDescent="0.25">
      <c r="O1088" s="7"/>
    </row>
    <row r="1089" spans="15:15" x14ac:dyDescent="0.25">
      <c r="O1089" s="7"/>
    </row>
    <row r="1090" spans="15:15" x14ac:dyDescent="0.25">
      <c r="O1090" s="7"/>
    </row>
    <row r="1091" spans="15:15" x14ac:dyDescent="0.25">
      <c r="O1091" s="7"/>
    </row>
    <row r="1092" spans="15:15" x14ac:dyDescent="0.25">
      <c r="O1092" s="7"/>
    </row>
    <row r="1093" spans="15:15" x14ac:dyDescent="0.25">
      <c r="O1093" s="7"/>
    </row>
    <row r="1094" spans="15:15" x14ac:dyDescent="0.25">
      <c r="O1094" s="7"/>
    </row>
    <row r="1095" spans="15:15" x14ac:dyDescent="0.25">
      <c r="O1095" s="7"/>
    </row>
    <row r="1096" spans="15:15" x14ac:dyDescent="0.25">
      <c r="O1096" s="7"/>
    </row>
    <row r="1097" spans="15:15" x14ac:dyDescent="0.25">
      <c r="O1097" s="7"/>
    </row>
    <row r="1098" spans="15:15" x14ac:dyDescent="0.25">
      <c r="O1098" s="7"/>
    </row>
    <row r="1099" spans="15:15" x14ac:dyDescent="0.25">
      <c r="O1099" s="7"/>
    </row>
    <row r="1100" spans="15:15" x14ac:dyDescent="0.25">
      <c r="O1100" s="7"/>
    </row>
    <row r="1101" spans="15:15" x14ac:dyDescent="0.25">
      <c r="O1101" s="7"/>
    </row>
    <row r="1102" spans="15:15" x14ac:dyDescent="0.25">
      <c r="O1102" s="7"/>
    </row>
    <row r="1103" spans="15:15" x14ac:dyDescent="0.25">
      <c r="O1103" s="7"/>
    </row>
    <row r="1104" spans="15:15" x14ac:dyDescent="0.25">
      <c r="O1104" s="7"/>
    </row>
    <row r="1105" spans="15:15" x14ac:dyDescent="0.25">
      <c r="O1105" s="7"/>
    </row>
    <row r="1106" spans="15:15" x14ac:dyDescent="0.25">
      <c r="O1106" s="7"/>
    </row>
    <row r="1107" spans="15:15" x14ac:dyDescent="0.25">
      <c r="O1107" s="7"/>
    </row>
    <row r="1108" spans="15:15" x14ac:dyDescent="0.25">
      <c r="O1108" s="7"/>
    </row>
    <row r="1109" spans="15:15" x14ac:dyDescent="0.25">
      <c r="O1109" s="7"/>
    </row>
    <row r="1110" spans="15:15" x14ac:dyDescent="0.25">
      <c r="O1110" s="7"/>
    </row>
    <row r="1111" spans="15:15" x14ac:dyDescent="0.25">
      <c r="O1111" s="7"/>
    </row>
    <row r="1112" spans="15:15" x14ac:dyDescent="0.25">
      <c r="O1112" s="7"/>
    </row>
    <row r="1113" spans="15:15" x14ac:dyDescent="0.25">
      <c r="O1113" s="7"/>
    </row>
    <row r="1114" spans="15:15" x14ac:dyDescent="0.25">
      <c r="O1114" s="7"/>
    </row>
    <row r="1115" spans="15:15" x14ac:dyDescent="0.25">
      <c r="O1115" s="7"/>
    </row>
    <row r="1116" spans="15:15" x14ac:dyDescent="0.25">
      <c r="O1116" s="7"/>
    </row>
    <row r="1117" spans="15:15" x14ac:dyDescent="0.25">
      <c r="O1117" s="7"/>
    </row>
    <row r="1118" spans="15:15" x14ac:dyDescent="0.25">
      <c r="O1118" s="7"/>
    </row>
    <row r="1119" spans="15:15" x14ac:dyDescent="0.25">
      <c r="O1119" s="7"/>
    </row>
    <row r="1120" spans="15:15" x14ac:dyDescent="0.25">
      <c r="O1120" s="7"/>
    </row>
    <row r="1121" spans="15:15" x14ac:dyDescent="0.25">
      <c r="O1121" s="7"/>
    </row>
    <row r="1122" spans="15:15" x14ac:dyDescent="0.25">
      <c r="O1122" s="7"/>
    </row>
    <row r="1123" spans="15:15" x14ac:dyDescent="0.25">
      <c r="O1123" s="7"/>
    </row>
    <row r="1124" spans="15:15" x14ac:dyDescent="0.25">
      <c r="O1124" s="7"/>
    </row>
    <row r="1125" spans="15:15" x14ac:dyDescent="0.25">
      <c r="O1125" s="7"/>
    </row>
    <row r="1126" spans="15:15" x14ac:dyDescent="0.25">
      <c r="O1126" s="7"/>
    </row>
    <row r="1127" spans="15:15" x14ac:dyDescent="0.25">
      <c r="O1127" s="7"/>
    </row>
    <row r="1128" spans="15:15" x14ac:dyDescent="0.25">
      <c r="O1128" s="7"/>
    </row>
    <row r="1129" spans="15:15" x14ac:dyDescent="0.25">
      <c r="O1129" s="7"/>
    </row>
    <row r="1130" spans="15:15" x14ac:dyDescent="0.25">
      <c r="O1130" s="7"/>
    </row>
    <row r="1131" spans="15:15" x14ac:dyDescent="0.25">
      <c r="O1131" s="7"/>
    </row>
    <row r="1132" spans="15:15" x14ac:dyDescent="0.25">
      <c r="O1132" s="7"/>
    </row>
    <row r="1133" spans="15:15" x14ac:dyDescent="0.25">
      <c r="O1133" s="7"/>
    </row>
    <row r="1134" spans="15:15" x14ac:dyDescent="0.25">
      <c r="O1134" s="7"/>
    </row>
    <row r="1135" spans="15:15" x14ac:dyDescent="0.25">
      <c r="O1135" s="7"/>
    </row>
    <row r="1136" spans="15:15" x14ac:dyDescent="0.25">
      <c r="O1136" s="7"/>
    </row>
    <row r="1137" spans="15:15" x14ac:dyDescent="0.25">
      <c r="O1137" s="7"/>
    </row>
    <row r="1138" spans="15:15" x14ac:dyDescent="0.25">
      <c r="O1138" s="7"/>
    </row>
    <row r="1139" spans="15:15" x14ac:dyDescent="0.25">
      <c r="O1139" s="7"/>
    </row>
    <row r="1140" spans="15:15" x14ac:dyDescent="0.25">
      <c r="O1140" s="7"/>
    </row>
    <row r="1141" spans="15:15" x14ac:dyDescent="0.25">
      <c r="O1141" s="7"/>
    </row>
    <row r="1142" spans="15:15" x14ac:dyDescent="0.25">
      <c r="O1142" s="7"/>
    </row>
    <row r="1143" spans="15:15" x14ac:dyDescent="0.25">
      <c r="O1143" s="7"/>
    </row>
    <row r="1144" spans="15:15" x14ac:dyDescent="0.25">
      <c r="O1144" s="7"/>
    </row>
    <row r="1145" spans="15:15" x14ac:dyDescent="0.25">
      <c r="O1145" s="7"/>
    </row>
    <row r="1146" spans="15:15" x14ac:dyDescent="0.25">
      <c r="O1146" s="7"/>
    </row>
    <row r="1147" spans="15:15" x14ac:dyDescent="0.25">
      <c r="O1147" s="7"/>
    </row>
    <row r="1148" spans="15:15" x14ac:dyDescent="0.25">
      <c r="O1148" s="7"/>
    </row>
    <row r="1149" spans="15:15" x14ac:dyDescent="0.25">
      <c r="O1149" s="7"/>
    </row>
    <row r="1150" spans="15:15" x14ac:dyDescent="0.25">
      <c r="O1150" s="7"/>
    </row>
    <row r="1151" spans="15:15" x14ac:dyDescent="0.25">
      <c r="O1151" s="7"/>
    </row>
    <row r="1152" spans="15:15" x14ac:dyDescent="0.25">
      <c r="O1152" s="7"/>
    </row>
    <row r="1153" spans="15:15" x14ac:dyDescent="0.25">
      <c r="O1153" s="7"/>
    </row>
    <row r="1154" spans="15:15" x14ac:dyDescent="0.25">
      <c r="O1154" s="7"/>
    </row>
    <row r="1155" spans="15:15" x14ac:dyDescent="0.25">
      <c r="O1155" s="7"/>
    </row>
    <row r="1156" spans="15:15" x14ac:dyDescent="0.25">
      <c r="O1156" s="7"/>
    </row>
    <row r="1157" spans="15:15" x14ac:dyDescent="0.25">
      <c r="O1157" s="7"/>
    </row>
    <row r="1158" spans="15:15" x14ac:dyDescent="0.25">
      <c r="O1158" s="7"/>
    </row>
    <row r="1159" spans="15:15" x14ac:dyDescent="0.25">
      <c r="O1159" s="7"/>
    </row>
    <row r="1160" spans="15:15" x14ac:dyDescent="0.25">
      <c r="O1160" s="7"/>
    </row>
    <row r="1161" spans="15:15" x14ac:dyDescent="0.25">
      <c r="O1161" s="7"/>
    </row>
    <row r="1162" spans="15:15" x14ac:dyDescent="0.25">
      <c r="O1162" s="7"/>
    </row>
    <row r="1163" spans="15:15" x14ac:dyDescent="0.25">
      <c r="O1163" s="7"/>
    </row>
    <row r="1164" spans="15:15" x14ac:dyDescent="0.25">
      <c r="O1164" s="7"/>
    </row>
    <row r="1165" spans="15:15" x14ac:dyDescent="0.25">
      <c r="O1165" s="7"/>
    </row>
    <row r="1166" spans="15:15" x14ac:dyDescent="0.25">
      <c r="O1166" s="7"/>
    </row>
    <row r="1167" spans="15:15" x14ac:dyDescent="0.25">
      <c r="O1167" s="7"/>
    </row>
    <row r="1168" spans="15:15" x14ac:dyDescent="0.25">
      <c r="O1168" s="7"/>
    </row>
    <row r="1169" spans="15:15" x14ac:dyDescent="0.25">
      <c r="O1169" s="7"/>
    </row>
    <row r="1170" spans="15:15" x14ac:dyDescent="0.25">
      <c r="O1170" s="7"/>
    </row>
    <row r="1171" spans="15:15" x14ac:dyDescent="0.25">
      <c r="O1171" s="7"/>
    </row>
    <row r="1172" spans="15:15" x14ac:dyDescent="0.25">
      <c r="O1172" s="7"/>
    </row>
    <row r="1173" spans="15:15" x14ac:dyDescent="0.25">
      <c r="O1173" s="7"/>
    </row>
    <row r="1174" spans="15:15" x14ac:dyDescent="0.25">
      <c r="O1174" s="7"/>
    </row>
    <row r="1175" spans="15:15" x14ac:dyDescent="0.25">
      <c r="O1175" s="7"/>
    </row>
    <row r="1176" spans="15:15" x14ac:dyDescent="0.25">
      <c r="O1176" s="7"/>
    </row>
    <row r="1177" spans="15:15" x14ac:dyDescent="0.25">
      <c r="O1177" s="7"/>
    </row>
    <row r="1178" spans="15:15" x14ac:dyDescent="0.25">
      <c r="O1178" s="7"/>
    </row>
    <row r="1179" spans="15:15" x14ac:dyDescent="0.25">
      <c r="O1179" s="7"/>
    </row>
    <row r="1180" spans="15:15" x14ac:dyDescent="0.25">
      <c r="O1180" s="7"/>
    </row>
    <row r="1181" spans="15:15" x14ac:dyDescent="0.25">
      <c r="O1181" s="7"/>
    </row>
    <row r="1182" spans="15:15" x14ac:dyDescent="0.25">
      <c r="O1182" s="7"/>
    </row>
    <row r="1183" spans="15:15" x14ac:dyDescent="0.25">
      <c r="O1183" s="7"/>
    </row>
    <row r="1184" spans="15:15" x14ac:dyDescent="0.25">
      <c r="O1184" s="7"/>
    </row>
    <row r="1185" spans="15:15" x14ac:dyDescent="0.25">
      <c r="O1185" s="7"/>
    </row>
    <row r="1186" spans="15:15" x14ac:dyDescent="0.25">
      <c r="O1186" s="7"/>
    </row>
    <row r="1187" spans="15:15" x14ac:dyDescent="0.25">
      <c r="O1187" s="7"/>
    </row>
    <row r="1188" spans="15:15" x14ac:dyDescent="0.25">
      <c r="O1188" s="7"/>
    </row>
    <row r="1189" spans="15:15" x14ac:dyDescent="0.25">
      <c r="O1189" s="7"/>
    </row>
    <row r="1190" spans="15:15" x14ac:dyDescent="0.25">
      <c r="O1190" s="7"/>
    </row>
    <row r="1191" spans="15:15" x14ac:dyDescent="0.25">
      <c r="O1191" s="7"/>
    </row>
    <row r="1192" spans="15:15" x14ac:dyDescent="0.25">
      <c r="O1192" s="7"/>
    </row>
    <row r="1193" spans="15:15" x14ac:dyDescent="0.25">
      <c r="O1193" s="7"/>
    </row>
    <row r="1194" spans="15:15" x14ac:dyDescent="0.25">
      <c r="O1194" s="7"/>
    </row>
    <row r="1195" spans="15:15" x14ac:dyDescent="0.25">
      <c r="O1195" s="7"/>
    </row>
    <row r="1196" spans="15:15" x14ac:dyDescent="0.25">
      <c r="O1196" s="7"/>
    </row>
    <row r="1197" spans="15:15" x14ac:dyDescent="0.25">
      <c r="O1197" s="7"/>
    </row>
    <row r="1198" spans="15:15" x14ac:dyDescent="0.25">
      <c r="O1198" s="7"/>
    </row>
    <row r="1199" spans="15:15" x14ac:dyDescent="0.25">
      <c r="O1199" s="7"/>
    </row>
    <row r="1200" spans="15:15" x14ac:dyDescent="0.25">
      <c r="O1200" s="7"/>
    </row>
    <row r="1201" spans="15:15" x14ac:dyDescent="0.25">
      <c r="O1201" s="7"/>
    </row>
    <row r="1202" spans="15:15" x14ac:dyDescent="0.25">
      <c r="O1202" s="7"/>
    </row>
    <row r="1203" spans="15:15" x14ac:dyDescent="0.25">
      <c r="O1203" s="7"/>
    </row>
    <row r="1204" spans="15:15" x14ac:dyDescent="0.25">
      <c r="O1204" s="7"/>
    </row>
    <row r="1205" spans="15:15" x14ac:dyDescent="0.25">
      <c r="O1205" s="7"/>
    </row>
    <row r="1206" spans="15:15" x14ac:dyDescent="0.25">
      <c r="O1206" s="7"/>
    </row>
    <row r="1207" spans="15:15" x14ac:dyDescent="0.25">
      <c r="O1207" s="7"/>
    </row>
    <row r="1208" spans="15:15" x14ac:dyDescent="0.25">
      <c r="O1208" s="7"/>
    </row>
    <row r="1209" spans="15:15" x14ac:dyDescent="0.25">
      <c r="O1209" s="7"/>
    </row>
    <row r="1210" spans="15:15" x14ac:dyDescent="0.25">
      <c r="O1210" s="7"/>
    </row>
    <row r="1211" spans="15:15" x14ac:dyDescent="0.25">
      <c r="O1211" s="7"/>
    </row>
    <row r="1212" spans="15:15" x14ac:dyDescent="0.25">
      <c r="O1212" s="7"/>
    </row>
    <row r="1213" spans="15:15" x14ac:dyDescent="0.25">
      <c r="O1213" s="7"/>
    </row>
    <row r="1214" spans="15:15" x14ac:dyDescent="0.25">
      <c r="O1214" s="7"/>
    </row>
    <row r="1215" spans="15:15" x14ac:dyDescent="0.25">
      <c r="O1215" s="7"/>
    </row>
    <row r="1216" spans="15:15" x14ac:dyDescent="0.25">
      <c r="O1216" s="7"/>
    </row>
    <row r="1217" spans="15:15" x14ac:dyDescent="0.25">
      <c r="O1217" s="7"/>
    </row>
    <row r="1218" spans="15:15" x14ac:dyDescent="0.25">
      <c r="O1218" s="7"/>
    </row>
    <row r="1219" spans="15:15" x14ac:dyDescent="0.25">
      <c r="O1219" s="7"/>
    </row>
    <row r="1220" spans="15:15" x14ac:dyDescent="0.25">
      <c r="O1220" s="7"/>
    </row>
    <row r="1221" spans="15:15" x14ac:dyDescent="0.25">
      <c r="O1221" s="7"/>
    </row>
    <row r="1222" spans="15:15" x14ac:dyDescent="0.25">
      <c r="O1222" s="7"/>
    </row>
    <row r="1223" spans="15:15" x14ac:dyDescent="0.25">
      <c r="O1223" s="7"/>
    </row>
    <row r="1224" spans="15:15" x14ac:dyDescent="0.25">
      <c r="O1224" s="7"/>
    </row>
    <row r="1225" spans="15:15" x14ac:dyDescent="0.25">
      <c r="O1225" s="7"/>
    </row>
    <row r="1226" spans="15:15" x14ac:dyDescent="0.25">
      <c r="O1226" s="7"/>
    </row>
    <row r="1227" spans="15:15" x14ac:dyDescent="0.25">
      <c r="O1227" s="7"/>
    </row>
    <row r="1228" spans="15:15" x14ac:dyDescent="0.25">
      <c r="O1228" s="7"/>
    </row>
    <row r="1229" spans="15:15" x14ac:dyDescent="0.25">
      <c r="O1229" s="7"/>
    </row>
    <row r="1230" spans="15:15" x14ac:dyDescent="0.25">
      <c r="O1230" s="7"/>
    </row>
    <row r="1231" spans="15:15" x14ac:dyDescent="0.25">
      <c r="O1231" s="7"/>
    </row>
    <row r="1232" spans="15:15" x14ac:dyDescent="0.25">
      <c r="O1232" s="7"/>
    </row>
    <row r="1233" spans="15:15" x14ac:dyDescent="0.25">
      <c r="O1233" s="7"/>
    </row>
    <row r="1234" spans="15:15" x14ac:dyDescent="0.25">
      <c r="O1234" s="7"/>
    </row>
    <row r="1235" spans="15:15" x14ac:dyDescent="0.25">
      <c r="O1235" s="7"/>
    </row>
    <row r="1236" spans="15:15" x14ac:dyDescent="0.25">
      <c r="O1236" s="7"/>
    </row>
    <row r="1237" spans="15:15" x14ac:dyDescent="0.25">
      <c r="O1237" s="7"/>
    </row>
    <row r="1238" spans="15:15" x14ac:dyDescent="0.25">
      <c r="O1238" s="7"/>
    </row>
    <row r="1239" spans="15:15" x14ac:dyDescent="0.25">
      <c r="O1239" s="7"/>
    </row>
    <row r="1240" spans="15:15" x14ac:dyDescent="0.25">
      <c r="O1240" s="7"/>
    </row>
    <row r="1241" spans="15:15" x14ac:dyDescent="0.25">
      <c r="O1241" s="7"/>
    </row>
    <row r="1242" spans="15:15" x14ac:dyDescent="0.25">
      <c r="O1242" s="7"/>
    </row>
    <row r="1243" spans="15:15" x14ac:dyDescent="0.25">
      <c r="O1243" s="7"/>
    </row>
    <row r="1244" spans="15:15" x14ac:dyDescent="0.25">
      <c r="O1244" s="7"/>
    </row>
    <row r="1245" spans="15:15" x14ac:dyDescent="0.25">
      <c r="O1245" s="7"/>
    </row>
    <row r="1246" spans="15:15" x14ac:dyDescent="0.25">
      <c r="O1246" s="7"/>
    </row>
    <row r="1247" spans="15:15" x14ac:dyDescent="0.25">
      <c r="O1247" s="7"/>
    </row>
    <row r="1248" spans="15:15" x14ac:dyDescent="0.25">
      <c r="O1248" s="7"/>
    </row>
    <row r="1249" spans="15:15" x14ac:dyDescent="0.25">
      <c r="O1249" s="7"/>
    </row>
    <row r="1250" spans="15:15" x14ac:dyDescent="0.25">
      <c r="O1250" s="7"/>
    </row>
    <row r="1251" spans="15:15" x14ac:dyDescent="0.25">
      <c r="O1251" s="7"/>
    </row>
    <row r="1252" spans="15:15" x14ac:dyDescent="0.25">
      <c r="O1252" s="7"/>
    </row>
    <row r="1253" spans="15:15" x14ac:dyDescent="0.25">
      <c r="O1253" s="7"/>
    </row>
    <row r="1254" spans="15:15" x14ac:dyDescent="0.25">
      <c r="O1254" s="7"/>
    </row>
    <row r="1255" spans="15:15" x14ac:dyDescent="0.25">
      <c r="O1255" s="7"/>
    </row>
    <row r="1256" spans="15:15" x14ac:dyDescent="0.25">
      <c r="O1256" s="7"/>
    </row>
    <row r="1257" spans="15:15" x14ac:dyDescent="0.25">
      <c r="O1257" s="7"/>
    </row>
    <row r="1258" spans="15:15" x14ac:dyDescent="0.25">
      <c r="O1258" s="7"/>
    </row>
    <row r="1259" spans="15:15" x14ac:dyDescent="0.25">
      <c r="O1259" s="7"/>
    </row>
    <row r="1260" spans="15:15" x14ac:dyDescent="0.25">
      <c r="O1260" s="7"/>
    </row>
    <row r="1261" spans="15:15" x14ac:dyDescent="0.25">
      <c r="O1261" s="7"/>
    </row>
    <row r="1262" spans="15:15" x14ac:dyDescent="0.25">
      <c r="O1262" s="7"/>
    </row>
    <row r="1263" spans="15:15" x14ac:dyDescent="0.25">
      <c r="O1263" s="7"/>
    </row>
    <row r="1264" spans="15:15" x14ac:dyDescent="0.25">
      <c r="O1264" s="7"/>
    </row>
    <row r="1265" spans="15:15" x14ac:dyDescent="0.25">
      <c r="O1265" s="7"/>
    </row>
    <row r="1266" spans="15:15" x14ac:dyDescent="0.25">
      <c r="O1266" s="7"/>
    </row>
    <row r="1267" spans="15:15" x14ac:dyDescent="0.25">
      <c r="O1267" s="7"/>
    </row>
    <row r="1268" spans="15:15" x14ac:dyDescent="0.25">
      <c r="O1268" s="7"/>
    </row>
    <row r="1269" spans="15:15" x14ac:dyDescent="0.25">
      <c r="O1269" s="7"/>
    </row>
    <row r="1270" spans="15:15" x14ac:dyDescent="0.25">
      <c r="O1270" s="7"/>
    </row>
    <row r="1271" spans="15:15" x14ac:dyDescent="0.25">
      <c r="O1271" s="7"/>
    </row>
    <row r="1272" spans="15:15" x14ac:dyDescent="0.25">
      <c r="O1272" s="7"/>
    </row>
    <row r="1273" spans="15:15" x14ac:dyDescent="0.25">
      <c r="O1273" s="7"/>
    </row>
    <row r="1274" spans="15:15" x14ac:dyDescent="0.25">
      <c r="O1274" s="7"/>
    </row>
    <row r="1275" spans="15:15" x14ac:dyDescent="0.25">
      <c r="O1275" s="7"/>
    </row>
    <row r="1276" spans="15:15" x14ac:dyDescent="0.25">
      <c r="O1276" s="7"/>
    </row>
    <row r="1277" spans="15:15" x14ac:dyDescent="0.25">
      <c r="O1277" s="7"/>
    </row>
    <row r="1278" spans="15:15" x14ac:dyDescent="0.25">
      <c r="O1278" s="7"/>
    </row>
    <row r="1279" spans="15:15" x14ac:dyDescent="0.25">
      <c r="O1279" s="7"/>
    </row>
    <row r="1280" spans="15:15" x14ac:dyDescent="0.25">
      <c r="O1280" s="7"/>
    </row>
    <row r="1281" spans="15:15" x14ac:dyDescent="0.25">
      <c r="O1281" s="7"/>
    </row>
    <row r="1282" spans="15:15" x14ac:dyDescent="0.25">
      <c r="O1282" s="7"/>
    </row>
    <row r="1283" spans="15:15" x14ac:dyDescent="0.25">
      <c r="O1283" s="7"/>
    </row>
    <row r="1284" spans="15:15" x14ac:dyDescent="0.25">
      <c r="O1284" s="7"/>
    </row>
    <row r="1285" spans="15:15" x14ac:dyDescent="0.25">
      <c r="O1285" s="7"/>
    </row>
    <row r="1286" spans="15:15" x14ac:dyDescent="0.25">
      <c r="O1286" s="7"/>
    </row>
    <row r="1287" spans="15:15" x14ac:dyDescent="0.25">
      <c r="O1287" s="7"/>
    </row>
    <row r="1288" spans="15:15" x14ac:dyDescent="0.25">
      <c r="O1288" s="7"/>
    </row>
    <row r="1289" spans="15:15" x14ac:dyDescent="0.25">
      <c r="O1289" s="7"/>
    </row>
    <row r="1290" spans="15:15" x14ac:dyDescent="0.25">
      <c r="O1290" s="7"/>
    </row>
    <row r="1291" spans="15:15" x14ac:dyDescent="0.25">
      <c r="O1291" s="7"/>
    </row>
    <row r="1292" spans="15:15" x14ac:dyDescent="0.25">
      <c r="O1292" s="7"/>
    </row>
    <row r="1293" spans="15:15" x14ac:dyDescent="0.25">
      <c r="O1293" s="7"/>
    </row>
    <row r="1294" spans="15:15" x14ac:dyDescent="0.25">
      <c r="O1294" s="7"/>
    </row>
    <row r="1295" spans="15:15" x14ac:dyDescent="0.25">
      <c r="O1295" s="7"/>
    </row>
    <row r="1296" spans="15:15" x14ac:dyDescent="0.25">
      <c r="O1296" s="7"/>
    </row>
    <row r="1297" spans="15:15" x14ac:dyDescent="0.25">
      <c r="O1297" s="7"/>
    </row>
    <row r="1298" spans="15:15" x14ac:dyDescent="0.25">
      <c r="O1298" s="7"/>
    </row>
    <row r="1299" spans="15:15" x14ac:dyDescent="0.25">
      <c r="O1299" s="7"/>
    </row>
    <row r="1300" spans="15:15" x14ac:dyDescent="0.25">
      <c r="O1300" s="7"/>
    </row>
    <row r="1301" spans="15:15" x14ac:dyDescent="0.25">
      <c r="O1301" s="7"/>
    </row>
    <row r="1302" spans="15:15" x14ac:dyDescent="0.25">
      <c r="O1302" s="7"/>
    </row>
    <row r="1303" spans="15:15" x14ac:dyDescent="0.25">
      <c r="O1303" s="7"/>
    </row>
    <row r="1304" spans="15:15" x14ac:dyDescent="0.25">
      <c r="O1304" s="7"/>
    </row>
    <row r="1305" spans="15:15" x14ac:dyDescent="0.25">
      <c r="O1305" s="7"/>
    </row>
    <row r="1306" spans="15:15" x14ac:dyDescent="0.25">
      <c r="O1306" s="7"/>
    </row>
    <row r="1307" spans="15:15" x14ac:dyDescent="0.25">
      <c r="O1307" s="7"/>
    </row>
    <row r="1308" spans="15:15" x14ac:dyDescent="0.25">
      <c r="O1308" s="7"/>
    </row>
    <row r="1309" spans="15:15" x14ac:dyDescent="0.25">
      <c r="O1309" s="7"/>
    </row>
    <row r="1310" spans="15:15" x14ac:dyDescent="0.25">
      <c r="O1310" s="7"/>
    </row>
    <row r="1311" spans="15:15" x14ac:dyDescent="0.25">
      <c r="O1311" s="7"/>
    </row>
    <row r="1312" spans="15:15" x14ac:dyDescent="0.25">
      <c r="O1312" s="7"/>
    </row>
    <row r="1313" spans="15:15" x14ac:dyDescent="0.25">
      <c r="O1313" s="7"/>
    </row>
    <row r="1314" spans="15:15" x14ac:dyDescent="0.25">
      <c r="O1314" s="7"/>
    </row>
    <row r="1315" spans="15:15" x14ac:dyDescent="0.25">
      <c r="O1315" s="7"/>
    </row>
    <row r="1316" spans="15:15" x14ac:dyDescent="0.25">
      <c r="O1316" s="7"/>
    </row>
    <row r="1317" spans="15:15" x14ac:dyDescent="0.25">
      <c r="O1317" s="7"/>
    </row>
    <row r="1318" spans="15:15" x14ac:dyDescent="0.25">
      <c r="O1318" s="7"/>
    </row>
    <row r="1319" spans="15:15" x14ac:dyDescent="0.25">
      <c r="O1319" s="7"/>
    </row>
    <row r="1320" spans="15:15" x14ac:dyDescent="0.25">
      <c r="O1320" s="7"/>
    </row>
    <row r="1321" spans="15:15" x14ac:dyDescent="0.25">
      <c r="O1321" s="7"/>
    </row>
    <row r="1322" spans="15:15" x14ac:dyDescent="0.25">
      <c r="O1322" s="7"/>
    </row>
    <row r="1323" spans="15:15" x14ac:dyDescent="0.25">
      <c r="O1323" s="7"/>
    </row>
    <row r="1324" spans="15:15" x14ac:dyDescent="0.25">
      <c r="O1324" s="7"/>
    </row>
    <row r="1325" spans="15:15" x14ac:dyDescent="0.25">
      <c r="O1325" s="7"/>
    </row>
    <row r="1326" spans="15:15" x14ac:dyDescent="0.25">
      <c r="O1326" s="7"/>
    </row>
    <row r="1327" spans="15:15" x14ac:dyDescent="0.25">
      <c r="O1327" s="7"/>
    </row>
    <row r="1328" spans="15:15" x14ac:dyDescent="0.25">
      <c r="O1328" s="7"/>
    </row>
    <row r="1329" spans="15:15" x14ac:dyDescent="0.25">
      <c r="O1329" s="7"/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32"/>
  <sheetViews>
    <sheetView zoomScaleNormal="100" workbookViewId="0">
      <selection activeCell="C2" sqref="C2"/>
    </sheetView>
  </sheetViews>
  <sheetFormatPr defaultRowHeight="15" x14ac:dyDescent="0.25"/>
  <cols>
    <col min="17" max="17" width="11" customWidth="1"/>
    <col min="18" max="18" width="28.85546875" customWidth="1"/>
  </cols>
  <sheetData>
    <row r="1" spans="1:21" x14ac:dyDescent="0.25">
      <c r="A1" s="8" t="s">
        <v>1</v>
      </c>
      <c r="B1" s="8"/>
      <c r="C1" s="8" t="s">
        <v>5</v>
      </c>
      <c r="D1" s="8"/>
      <c r="E1" s="8" t="s">
        <v>529</v>
      </c>
      <c r="F1" s="8" t="s">
        <v>294</v>
      </c>
      <c r="G1" s="8" t="s">
        <v>130</v>
      </c>
      <c r="H1" s="8" t="s">
        <v>1838</v>
      </c>
      <c r="I1" s="8" t="s">
        <v>141</v>
      </c>
      <c r="J1" s="8" t="s">
        <v>317</v>
      </c>
      <c r="K1" s="8" t="s">
        <v>1839</v>
      </c>
      <c r="L1" s="8" t="s">
        <v>20</v>
      </c>
      <c r="M1" s="8"/>
      <c r="N1" s="8" t="s">
        <v>9</v>
      </c>
      <c r="O1" s="8" t="s">
        <v>13</v>
      </c>
      <c r="P1" s="8"/>
      <c r="Q1" s="8" t="s">
        <v>10</v>
      </c>
      <c r="R1" s="9" t="s">
        <v>14</v>
      </c>
      <c r="S1" s="8"/>
      <c r="T1" s="8" t="s">
        <v>11</v>
      </c>
      <c r="U1" s="8"/>
    </row>
    <row r="2" spans="1:21" x14ac:dyDescent="0.25">
      <c r="A2" s="8" t="s">
        <v>1840</v>
      </c>
      <c r="B2" s="8"/>
      <c r="C2" s="8" t="s">
        <v>529</v>
      </c>
      <c r="D2" s="8"/>
      <c r="E2" s="8" t="s">
        <v>44</v>
      </c>
      <c r="F2" s="8" t="s">
        <v>765</v>
      </c>
      <c r="G2" s="8" t="s">
        <v>44</v>
      </c>
      <c r="H2" s="8" t="s">
        <v>1841</v>
      </c>
      <c r="I2" s="8" t="s">
        <v>225</v>
      </c>
      <c r="J2" s="8" t="s">
        <v>225</v>
      </c>
      <c r="K2" s="8" t="s">
        <v>70</v>
      </c>
      <c r="L2" s="8" t="s">
        <v>44</v>
      </c>
      <c r="M2" s="8"/>
      <c r="N2" s="8" t="s">
        <v>1842</v>
      </c>
      <c r="O2" s="8" t="s">
        <v>1843</v>
      </c>
      <c r="P2" s="8"/>
      <c r="Q2" s="8" t="s">
        <v>1844</v>
      </c>
      <c r="R2" s="9" t="s">
        <v>1844</v>
      </c>
      <c r="S2" s="8"/>
      <c r="T2" s="8" t="s">
        <v>1845</v>
      </c>
      <c r="U2" s="8"/>
    </row>
    <row r="3" spans="1:21" x14ac:dyDescent="0.25">
      <c r="A3" s="8" t="s">
        <v>1846</v>
      </c>
      <c r="B3" s="8"/>
      <c r="C3" s="8" t="s">
        <v>294</v>
      </c>
      <c r="D3" s="8"/>
      <c r="E3" s="8" t="s">
        <v>225</v>
      </c>
      <c r="F3" s="8" t="s">
        <v>225</v>
      </c>
      <c r="G3" s="8" t="s">
        <v>765</v>
      </c>
      <c r="H3" s="8"/>
      <c r="I3" s="8" t="s">
        <v>28</v>
      </c>
      <c r="J3" s="8" t="s">
        <v>1847</v>
      </c>
      <c r="K3" s="8" t="s">
        <v>142</v>
      </c>
      <c r="L3" s="8" t="s">
        <v>225</v>
      </c>
      <c r="M3" s="8"/>
      <c r="N3" s="8" t="s">
        <v>1848</v>
      </c>
      <c r="O3" s="9" t="s">
        <v>1849</v>
      </c>
      <c r="P3" s="8"/>
      <c r="Q3" s="8">
        <v>100</v>
      </c>
      <c r="R3" s="9" t="s">
        <v>1839</v>
      </c>
      <c r="S3" s="8"/>
      <c r="T3" s="8" t="s">
        <v>1850</v>
      </c>
      <c r="U3" s="8"/>
    </row>
    <row r="4" spans="1:21" x14ac:dyDescent="0.25">
      <c r="A4" s="8" t="s">
        <v>1851</v>
      </c>
      <c r="B4" s="8"/>
      <c r="C4" s="8" t="s">
        <v>130</v>
      </c>
      <c r="D4" s="8"/>
      <c r="E4" s="8" t="s">
        <v>28</v>
      </c>
      <c r="F4" s="8" t="s">
        <v>28</v>
      </c>
      <c r="G4" s="8" t="s">
        <v>225</v>
      </c>
      <c r="H4" s="8"/>
      <c r="I4" s="8" t="s">
        <v>1847</v>
      </c>
      <c r="J4" s="8" t="s">
        <v>148</v>
      </c>
      <c r="K4" s="8" t="s">
        <v>152</v>
      </c>
      <c r="L4" s="8" t="s">
        <v>28</v>
      </c>
      <c r="M4" s="8"/>
      <c r="N4" s="8" t="s">
        <v>1852</v>
      </c>
      <c r="O4" s="9" t="s">
        <v>1853</v>
      </c>
      <c r="P4" s="8"/>
      <c r="Q4" s="8">
        <v>110</v>
      </c>
      <c r="R4" s="9" t="s">
        <v>1854</v>
      </c>
      <c r="S4" s="8"/>
      <c r="T4" s="8" t="s">
        <v>120</v>
      </c>
      <c r="U4" s="8"/>
    </row>
    <row r="5" spans="1:21" x14ac:dyDescent="0.25">
      <c r="A5" s="8" t="s">
        <v>1855</v>
      </c>
      <c r="B5" s="8"/>
      <c r="C5" s="8" t="s">
        <v>1838</v>
      </c>
      <c r="D5" s="8"/>
      <c r="E5" s="8" t="s">
        <v>70</v>
      </c>
      <c r="F5" s="8" t="s">
        <v>1847</v>
      </c>
      <c r="G5" s="8" t="s">
        <v>28</v>
      </c>
      <c r="H5" s="8"/>
      <c r="I5" s="8" t="s">
        <v>148</v>
      </c>
      <c r="J5" s="8" t="s">
        <v>70</v>
      </c>
      <c r="K5" s="8" t="s">
        <v>1856</v>
      </c>
      <c r="L5" s="8" t="s">
        <v>70</v>
      </c>
      <c r="M5" s="8"/>
      <c r="N5" s="8" t="s">
        <v>1857</v>
      </c>
      <c r="O5" s="9" t="s">
        <v>1858</v>
      </c>
      <c r="P5" s="8"/>
      <c r="Q5" s="8">
        <v>200</v>
      </c>
      <c r="R5" s="9" t="s">
        <v>1859</v>
      </c>
      <c r="S5" s="8"/>
      <c r="T5" s="8" t="s">
        <v>23</v>
      </c>
      <c r="U5" s="8"/>
    </row>
    <row r="6" spans="1:21" x14ac:dyDescent="0.25">
      <c r="A6" s="8" t="s">
        <v>1860</v>
      </c>
      <c r="B6" s="8"/>
      <c r="C6" s="8" t="s">
        <v>141</v>
      </c>
      <c r="D6" s="8"/>
      <c r="E6" s="8" t="s">
        <v>1861</v>
      </c>
      <c r="F6" s="8" t="s">
        <v>70</v>
      </c>
      <c r="G6" s="8" t="s">
        <v>1847</v>
      </c>
      <c r="H6" s="8"/>
      <c r="I6" s="8" t="s">
        <v>70</v>
      </c>
      <c r="J6" s="8" t="s">
        <v>34</v>
      </c>
      <c r="K6" s="8" t="s">
        <v>194</v>
      </c>
      <c r="L6" s="8" t="s">
        <v>1861</v>
      </c>
      <c r="M6" s="8"/>
      <c r="N6" s="8" t="s">
        <v>1862</v>
      </c>
      <c r="O6" s="9" t="s">
        <v>1863</v>
      </c>
      <c r="P6" s="8"/>
      <c r="Q6" s="8">
        <v>201</v>
      </c>
      <c r="R6" s="9" t="s">
        <v>1864</v>
      </c>
      <c r="S6" s="8"/>
      <c r="T6" s="8" t="s">
        <v>71</v>
      </c>
      <c r="U6" s="8"/>
    </row>
    <row r="7" spans="1:21" x14ac:dyDescent="0.25">
      <c r="A7" s="8" t="s">
        <v>1865</v>
      </c>
      <c r="B7" s="8"/>
      <c r="C7" s="8" t="s">
        <v>317</v>
      </c>
      <c r="D7" s="8"/>
      <c r="E7" s="8" t="s">
        <v>152</v>
      </c>
      <c r="F7" s="8" t="s">
        <v>1866</v>
      </c>
      <c r="G7" s="8" t="s">
        <v>148</v>
      </c>
      <c r="H7" s="8"/>
      <c r="I7" s="8" t="s">
        <v>1866</v>
      </c>
      <c r="J7" s="8" t="s">
        <v>21</v>
      </c>
      <c r="K7" s="8" t="s">
        <v>1867</v>
      </c>
      <c r="L7" s="8" t="s">
        <v>142</v>
      </c>
      <c r="M7" s="8"/>
      <c r="N7" s="8" t="s">
        <v>1868</v>
      </c>
      <c r="O7" s="8" t="s">
        <v>1869</v>
      </c>
      <c r="P7" s="8"/>
      <c r="Q7" s="8">
        <v>202</v>
      </c>
      <c r="R7" s="9" t="s">
        <v>1870</v>
      </c>
      <c r="S7" s="8"/>
      <c r="T7" s="8" t="s">
        <v>271</v>
      </c>
      <c r="U7" s="8"/>
    </row>
    <row r="8" spans="1:21" x14ac:dyDescent="0.25">
      <c r="A8" s="8" t="s">
        <v>1871</v>
      </c>
      <c r="B8" s="8"/>
      <c r="C8" s="8" t="s">
        <v>1839</v>
      </c>
      <c r="D8" s="8"/>
      <c r="E8" s="8" t="s">
        <v>34</v>
      </c>
      <c r="F8" s="8" t="s">
        <v>1861</v>
      </c>
      <c r="G8" s="8" t="s">
        <v>70</v>
      </c>
      <c r="H8" s="8"/>
      <c r="I8" s="8" t="s">
        <v>1861</v>
      </c>
      <c r="J8" s="8" t="s">
        <v>194</v>
      </c>
      <c r="K8" s="8" t="s">
        <v>1872</v>
      </c>
      <c r="L8" s="8" t="s">
        <v>34</v>
      </c>
      <c r="M8" s="8"/>
      <c r="N8" s="8" t="s">
        <v>1873</v>
      </c>
      <c r="O8" s="8" t="s">
        <v>1874</v>
      </c>
      <c r="P8" s="8"/>
      <c r="Q8" s="8">
        <v>203</v>
      </c>
      <c r="R8" s="9" t="s">
        <v>1875</v>
      </c>
      <c r="S8" s="8"/>
      <c r="T8" s="8" t="s">
        <v>195</v>
      </c>
      <c r="U8" s="8"/>
    </row>
    <row r="9" spans="1:21" x14ac:dyDescent="0.25">
      <c r="A9" s="8" t="s">
        <v>1876</v>
      </c>
      <c r="B9" s="8"/>
      <c r="C9" s="8" t="s">
        <v>20</v>
      </c>
      <c r="D9" s="8"/>
      <c r="E9" s="8" t="s">
        <v>21</v>
      </c>
      <c r="F9" s="8" t="s">
        <v>34</v>
      </c>
      <c r="G9" s="8" t="s">
        <v>1866</v>
      </c>
      <c r="H9" s="8"/>
      <c r="I9" s="8" t="s">
        <v>142</v>
      </c>
      <c r="J9" s="8" t="s">
        <v>1867</v>
      </c>
      <c r="K9" s="8"/>
      <c r="L9" s="8" t="s">
        <v>21</v>
      </c>
      <c r="M9" s="8"/>
      <c r="N9" s="8" t="s">
        <v>1877</v>
      </c>
      <c r="O9" s="9" t="s">
        <v>1878</v>
      </c>
      <c r="P9" s="8"/>
      <c r="Q9" s="8">
        <v>205</v>
      </c>
      <c r="R9" s="9" t="s">
        <v>1879</v>
      </c>
      <c r="S9" s="8"/>
      <c r="T9" s="8" t="s">
        <v>1880</v>
      </c>
      <c r="U9" s="8"/>
    </row>
    <row r="10" spans="1:21" x14ac:dyDescent="0.25">
      <c r="A10" s="8" t="s">
        <v>1881</v>
      </c>
      <c r="B10" s="8"/>
      <c r="C10" s="8"/>
      <c r="D10" s="8"/>
      <c r="E10" s="8" t="s">
        <v>194</v>
      </c>
      <c r="F10" s="8" t="s">
        <v>21</v>
      </c>
      <c r="G10" s="8" t="s">
        <v>680</v>
      </c>
      <c r="H10" s="8"/>
      <c r="I10" s="8" t="s">
        <v>152</v>
      </c>
      <c r="J10" s="8" t="s">
        <v>1872</v>
      </c>
      <c r="K10" s="8"/>
      <c r="L10" s="8" t="s">
        <v>194</v>
      </c>
      <c r="M10" s="8"/>
      <c r="N10" s="8" t="s">
        <v>1882</v>
      </c>
      <c r="O10" s="9" t="s">
        <v>1883</v>
      </c>
      <c r="P10" s="8"/>
      <c r="Q10" s="8">
        <v>210</v>
      </c>
      <c r="R10" s="9" t="s">
        <v>1884</v>
      </c>
      <c r="S10" s="8"/>
      <c r="T10" s="8" t="s">
        <v>577</v>
      </c>
      <c r="U10" s="8"/>
    </row>
    <row r="11" spans="1:21" x14ac:dyDescent="0.25">
      <c r="A11" s="8" t="s">
        <v>1885</v>
      </c>
      <c r="B11" s="8"/>
      <c r="C11" s="8"/>
      <c r="D11" s="8"/>
      <c r="E11" s="8" t="s">
        <v>1013</v>
      </c>
      <c r="F11" s="8" t="s">
        <v>1886</v>
      </c>
      <c r="G11" s="8" t="s">
        <v>1887</v>
      </c>
      <c r="H11" s="8"/>
      <c r="I11" s="8" t="s">
        <v>295</v>
      </c>
      <c r="J11" s="8" t="s">
        <v>1888</v>
      </c>
      <c r="K11" s="8"/>
      <c r="L11" s="8" t="s">
        <v>1867</v>
      </c>
      <c r="M11" s="8"/>
      <c r="N11" s="8" t="s">
        <v>1889</v>
      </c>
      <c r="O11" s="9" t="s">
        <v>1890</v>
      </c>
      <c r="P11" s="8"/>
      <c r="Q11" s="8">
        <v>211</v>
      </c>
      <c r="R11" s="9" t="s">
        <v>1891</v>
      </c>
      <c r="S11" s="8"/>
      <c r="T11" s="8" t="s">
        <v>1892</v>
      </c>
      <c r="U11" s="8"/>
    </row>
    <row r="12" spans="1:21" x14ac:dyDescent="0.25">
      <c r="A12" s="8" t="s">
        <v>1893</v>
      </c>
      <c r="B12" s="8"/>
      <c r="C12" s="8"/>
      <c r="D12" s="8"/>
      <c r="E12" s="8" t="s">
        <v>1867</v>
      </c>
      <c r="F12" s="8" t="s">
        <v>295</v>
      </c>
      <c r="G12" s="8" t="s">
        <v>1894</v>
      </c>
      <c r="H12" s="8"/>
      <c r="I12" s="8" t="s">
        <v>194</v>
      </c>
      <c r="J12" s="8"/>
      <c r="K12" s="8"/>
      <c r="L12" s="8" t="s">
        <v>1872</v>
      </c>
      <c r="M12" s="8"/>
      <c r="N12" s="8" t="s">
        <v>1895</v>
      </c>
      <c r="O12" s="9" t="s">
        <v>1896</v>
      </c>
      <c r="P12" s="8"/>
      <c r="Q12" s="8">
        <v>212</v>
      </c>
      <c r="R12" s="9" t="s">
        <v>1897</v>
      </c>
      <c r="S12" s="8"/>
      <c r="T12" s="8" t="s">
        <v>489</v>
      </c>
      <c r="U12" s="8"/>
    </row>
    <row r="13" spans="1:21" x14ac:dyDescent="0.25">
      <c r="A13" s="8" t="s">
        <v>1898</v>
      </c>
      <c r="B13" s="8"/>
      <c r="C13" s="8"/>
      <c r="D13" s="8"/>
      <c r="E13" s="8" t="s">
        <v>1872</v>
      </c>
      <c r="F13" s="8" t="s">
        <v>194</v>
      </c>
      <c r="G13" s="8" t="s">
        <v>1861</v>
      </c>
      <c r="H13" s="8"/>
      <c r="I13" s="8" t="s">
        <v>1867</v>
      </c>
      <c r="J13" s="8"/>
      <c r="K13" s="8"/>
      <c r="L13" s="8"/>
      <c r="M13" s="8"/>
      <c r="N13" s="9" t="s">
        <v>1899</v>
      </c>
      <c r="O13" s="9" t="s">
        <v>1900</v>
      </c>
      <c r="P13" s="8"/>
      <c r="Q13" s="8">
        <v>213</v>
      </c>
      <c r="R13" s="9" t="s">
        <v>1901</v>
      </c>
      <c r="S13" s="8"/>
      <c r="T13" s="8" t="s">
        <v>1902</v>
      </c>
      <c r="U13" s="8"/>
    </row>
    <row r="14" spans="1:21" x14ac:dyDescent="0.25">
      <c r="A14" s="8"/>
      <c r="B14" s="8"/>
      <c r="C14" s="8"/>
      <c r="D14" s="8"/>
      <c r="E14" s="8" t="s">
        <v>1888</v>
      </c>
      <c r="F14" s="8" t="s">
        <v>1867</v>
      </c>
      <c r="G14" s="8" t="s">
        <v>142</v>
      </c>
      <c r="H14" s="8"/>
      <c r="I14" s="8" t="s">
        <v>1872</v>
      </c>
      <c r="J14" s="8"/>
      <c r="K14" s="8"/>
      <c r="L14" s="8"/>
      <c r="M14" s="8"/>
      <c r="N14" s="8" t="s">
        <v>1903</v>
      </c>
      <c r="O14" s="9" t="s">
        <v>1904</v>
      </c>
      <c r="P14" s="8"/>
      <c r="Q14" s="8">
        <v>214</v>
      </c>
      <c r="R14" s="9" t="s">
        <v>1905</v>
      </c>
      <c r="S14" s="8"/>
      <c r="T14" s="8"/>
      <c r="U14" s="8"/>
    </row>
    <row r="15" spans="1:21" x14ac:dyDescent="0.25">
      <c r="A15" s="8"/>
      <c r="B15" s="8"/>
      <c r="C15" s="8"/>
      <c r="D15" s="8"/>
      <c r="E15" s="8"/>
      <c r="F15" s="8" t="s">
        <v>1872</v>
      </c>
      <c r="G15" s="8" t="s">
        <v>1906</v>
      </c>
      <c r="H15" s="8"/>
      <c r="I15" s="8" t="s">
        <v>1888</v>
      </c>
      <c r="J15" s="8"/>
      <c r="K15" s="8"/>
      <c r="L15" s="8"/>
      <c r="M15" s="8"/>
      <c r="N15" s="9" t="s">
        <v>1907</v>
      </c>
      <c r="O15" s="9" t="s">
        <v>1908</v>
      </c>
      <c r="P15" s="8"/>
      <c r="Q15" s="8">
        <v>220</v>
      </c>
      <c r="R15" s="9" t="s">
        <v>1909</v>
      </c>
      <c r="S15" s="8"/>
      <c r="T15" s="8"/>
      <c r="U15" s="8"/>
    </row>
    <row r="16" spans="1:21" x14ac:dyDescent="0.25">
      <c r="A16" s="8"/>
      <c r="B16" s="8"/>
      <c r="C16" s="8"/>
      <c r="D16" s="8"/>
      <c r="E16" s="8"/>
      <c r="F16" s="8" t="s">
        <v>1888</v>
      </c>
      <c r="G16" s="8" t="s">
        <v>152</v>
      </c>
      <c r="H16" s="8"/>
      <c r="I16" s="8"/>
      <c r="J16" s="8"/>
      <c r="K16" s="8"/>
      <c r="L16" s="8"/>
      <c r="M16" s="8"/>
      <c r="N16" s="9" t="s">
        <v>1910</v>
      </c>
      <c r="O16" s="9" t="s">
        <v>1911</v>
      </c>
      <c r="P16" s="8"/>
      <c r="Q16" s="8">
        <v>221</v>
      </c>
      <c r="R16" s="9" t="s">
        <v>1912</v>
      </c>
      <c r="S16" s="8"/>
      <c r="T16" s="8"/>
      <c r="U16" s="8"/>
    </row>
    <row r="17" spans="1:21" x14ac:dyDescent="0.25">
      <c r="A17" s="8"/>
      <c r="B17" s="8"/>
      <c r="C17" s="8"/>
      <c r="D17" s="8"/>
      <c r="E17" s="8"/>
      <c r="F17" s="8"/>
      <c r="G17" s="8" t="s">
        <v>1856</v>
      </c>
      <c r="H17" s="8"/>
      <c r="I17" s="8"/>
      <c r="J17" s="8"/>
      <c r="K17" s="8"/>
      <c r="L17" s="8"/>
      <c r="M17" s="8"/>
      <c r="N17" s="8" t="s">
        <v>1913</v>
      </c>
      <c r="O17" s="8" t="s">
        <v>1914</v>
      </c>
      <c r="P17" s="8"/>
      <c r="Q17" s="8">
        <v>222</v>
      </c>
      <c r="R17" s="9" t="s">
        <v>1915</v>
      </c>
      <c r="S17" s="8"/>
      <c r="T17" s="8"/>
      <c r="U17" s="8"/>
    </row>
    <row r="18" spans="1:21" x14ac:dyDescent="0.25">
      <c r="A18" s="8"/>
      <c r="B18" s="8"/>
      <c r="C18" s="8"/>
      <c r="D18" s="8"/>
      <c r="E18" s="8"/>
      <c r="F18" s="8"/>
      <c r="G18" s="8" t="s">
        <v>34</v>
      </c>
      <c r="H18" s="8"/>
      <c r="I18" s="8"/>
      <c r="J18" s="8"/>
      <c r="K18" s="8"/>
      <c r="L18" s="8"/>
      <c r="M18" s="8"/>
      <c r="N18" s="8" t="s">
        <v>1916</v>
      </c>
      <c r="O18" s="8" t="s">
        <v>1917</v>
      </c>
      <c r="P18" s="8"/>
      <c r="Q18" s="8">
        <v>230</v>
      </c>
      <c r="R18" s="9" t="s">
        <v>1918</v>
      </c>
      <c r="S18" s="8"/>
      <c r="T18" s="8"/>
      <c r="U18" s="8"/>
    </row>
    <row r="19" spans="1:21" x14ac:dyDescent="0.25">
      <c r="A19" s="8"/>
      <c r="B19" s="8"/>
      <c r="C19" s="8"/>
      <c r="D19" s="8"/>
      <c r="E19" s="8"/>
      <c r="F19" s="8"/>
      <c r="G19" s="8" t="s">
        <v>21</v>
      </c>
      <c r="H19" s="8"/>
      <c r="I19" s="8"/>
      <c r="J19" s="8"/>
      <c r="K19" s="8"/>
      <c r="L19" s="8"/>
      <c r="M19" s="8"/>
      <c r="N19" s="8" t="s">
        <v>1919</v>
      </c>
      <c r="O19" s="9" t="s">
        <v>1920</v>
      </c>
      <c r="P19" s="8"/>
      <c r="Q19" s="8">
        <v>231</v>
      </c>
      <c r="R19" s="9" t="s">
        <v>1921</v>
      </c>
      <c r="S19" s="8"/>
      <c r="T19" s="8"/>
      <c r="U19" s="8"/>
    </row>
    <row r="20" spans="1:21" x14ac:dyDescent="0.25">
      <c r="A20" s="8"/>
      <c r="B20" s="8"/>
      <c r="C20" s="8"/>
      <c r="D20" s="8"/>
      <c r="E20" s="8"/>
      <c r="F20" s="8"/>
      <c r="G20" s="8" t="s">
        <v>1886</v>
      </c>
      <c r="H20" s="8"/>
      <c r="I20" s="8"/>
      <c r="J20" s="8"/>
      <c r="K20" s="8"/>
      <c r="L20" s="8"/>
      <c r="M20" s="8"/>
      <c r="N20" s="8" t="s">
        <v>1922</v>
      </c>
      <c r="O20" s="9" t="s">
        <v>1923</v>
      </c>
      <c r="P20" s="8"/>
      <c r="Q20" s="8">
        <v>232</v>
      </c>
      <c r="R20" s="9" t="s">
        <v>1924</v>
      </c>
      <c r="S20" s="8"/>
      <c r="T20" s="8"/>
      <c r="U20" s="8"/>
    </row>
    <row r="21" spans="1:21" x14ac:dyDescent="0.25">
      <c r="A21" s="8"/>
      <c r="B21" s="8"/>
      <c r="C21" s="8"/>
      <c r="D21" s="8"/>
      <c r="E21" s="8"/>
      <c r="F21" s="8"/>
      <c r="G21" s="8" t="s">
        <v>295</v>
      </c>
      <c r="H21" s="8"/>
      <c r="I21" s="8"/>
      <c r="J21" s="8"/>
      <c r="K21" s="8"/>
      <c r="L21" s="8"/>
      <c r="M21" s="8"/>
      <c r="N21" s="8" t="s">
        <v>1925</v>
      </c>
      <c r="O21" s="9" t="s">
        <v>1926</v>
      </c>
      <c r="P21" s="8"/>
      <c r="Q21" s="8">
        <v>233</v>
      </c>
      <c r="R21" s="9" t="s">
        <v>1927</v>
      </c>
      <c r="S21" s="8"/>
      <c r="T21" s="8"/>
      <c r="U21" s="8"/>
    </row>
    <row r="22" spans="1:21" x14ac:dyDescent="0.25">
      <c r="A22" s="8"/>
      <c r="B22" s="8"/>
      <c r="C22" s="8"/>
      <c r="D22" s="8"/>
      <c r="E22" s="8"/>
      <c r="F22" s="8"/>
      <c r="G22" s="8" t="s">
        <v>194</v>
      </c>
      <c r="H22" s="8"/>
      <c r="I22" s="8"/>
      <c r="J22" s="8"/>
      <c r="K22" s="8"/>
      <c r="L22" s="8"/>
      <c r="M22" s="8"/>
      <c r="N22" s="9" t="s">
        <v>1928</v>
      </c>
      <c r="O22" s="9" t="s">
        <v>1929</v>
      </c>
      <c r="P22" s="8"/>
      <c r="Q22" s="8">
        <v>234</v>
      </c>
      <c r="R22" s="9" t="s">
        <v>1930</v>
      </c>
      <c r="S22" s="8"/>
      <c r="T22" s="8"/>
      <c r="U22" s="8"/>
    </row>
    <row r="23" spans="1:21" x14ac:dyDescent="0.25">
      <c r="A23" s="8"/>
      <c r="B23" s="8"/>
      <c r="C23" s="8"/>
      <c r="D23" s="8"/>
      <c r="E23" s="8"/>
      <c r="F23" s="8"/>
      <c r="G23" s="8" t="s">
        <v>1013</v>
      </c>
      <c r="H23" s="8"/>
      <c r="I23" s="8"/>
      <c r="J23" s="8"/>
      <c r="K23" s="8"/>
      <c r="L23" s="8"/>
      <c r="M23" s="8"/>
      <c r="N23" s="8" t="s">
        <v>1931</v>
      </c>
      <c r="O23" s="9" t="s">
        <v>1932</v>
      </c>
      <c r="P23" s="8"/>
      <c r="Q23" s="8">
        <v>241</v>
      </c>
      <c r="R23" s="9" t="s">
        <v>1933</v>
      </c>
      <c r="S23" s="8"/>
      <c r="T23" s="8"/>
      <c r="U23" s="8"/>
    </row>
    <row r="24" spans="1:21" x14ac:dyDescent="0.25">
      <c r="A24" s="8"/>
      <c r="B24" s="8"/>
      <c r="C24" s="8"/>
      <c r="D24" s="8"/>
      <c r="E24" s="8"/>
      <c r="F24" s="8"/>
      <c r="G24" s="8" t="s">
        <v>1872</v>
      </c>
      <c r="H24" s="8"/>
      <c r="I24" s="8"/>
      <c r="J24" s="8"/>
      <c r="K24" s="8"/>
      <c r="L24" s="8"/>
      <c r="M24" s="8"/>
      <c r="N24" s="8" t="s">
        <v>1934</v>
      </c>
      <c r="O24" s="9" t="s">
        <v>1935</v>
      </c>
      <c r="P24" s="8"/>
      <c r="Q24" s="8">
        <v>300</v>
      </c>
      <c r="R24" s="9" t="s">
        <v>1936</v>
      </c>
      <c r="S24" s="8"/>
      <c r="T24" s="8"/>
      <c r="U24" s="8"/>
    </row>
    <row r="25" spans="1:21" x14ac:dyDescent="0.25">
      <c r="A25" s="8"/>
      <c r="B25" s="8"/>
      <c r="C25" s="8"/>
      <c r="D25" s="8"/>
      <c r="E25" s="8"/>
      <c r="F25" s="8"/>
      <c r="G25" s="8" t="s">
        <v>1888</v>
      </c>
      <c r="H25" s="8"/>
      <c r="I25" s="8"/>
      <c r="J25" s="8"/>
      <c r="K25" s="8"/>
      <c r="L25" s="8"/>
      <c r="M25" s="8"/>
      <c r="N25" s="8" t="s">
        <v>199</v>
      </c>
      <c r="O25" s="8" t="s">
        <v>1937</v>
      </c>
      <c r="P25" s="8"/>
      <c r="Q25" s="8">
        <v>301</v>
      </c>
      <c r="R25" s="9" t="s">
        <v>1938</v>
      </c>
      <c r="S25" s="8"/>
      <c r="T25" s="8"/>
      <c r="U25" s="8"/>
    </row>
    <row r="26" spans="1:21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 t="s">
        <v>1939</v>
      </c>
      <c r="O26" s="9" t="s">
        <v>1940</v>
      </c>
      <c r="P26" s="8"/>
      <c r="Q26" s="8">
        <v>302</v>
      </c>
      <c r="R26" s="9" t="s">
        <v>1941</v>
      </c>
      <c r="S26" s="8"/>
      <c r="T26" s="8"/>
      <c r="U26" s="8"/>
    </row>
    <row r="27" spans="1:21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 t="s">
        <v>1942</v>
      </c>
      <c r="O27" s="9" t="s">
        <v>1940</v>
      </c>
      <c r="P27" s="8"/>
      <c r="Q27" s="8">
        <v>303</v>
      </c>
      <c r="R27" s="9" t="s">
        <v>1943</v>
      </c>
      <c r="S27" s="8"/>
      <c r="T27" s="8"/>
      <c r="U27" s="8"/>
    </row>
    <row r="28" spans="1:21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 t="s">
        <v>1184</v>
      </c>
      <c r="O28" s="9" t="s">
        <v>1944</v>
      </c>
      <c r="P28" s="8"/>
      <c r="Q28" s="8">
        <v>304</v>
      </c>
      <c r="R28" s="9" t="s">
        <v>1945</v>
      </c>
      <c r="S28" s="8"/>
      <c r="T28" s="8"/>
      <c r="U28" s="8"/>
    </row>
    <row r="29" spans="1:21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 t="s">
        <v>1946</v>
      </c>
      <c r="O29" s="9" t="s">
        <v>1947</v>
      </c>
      <c r="P29" s="8"/>
      <c r="Q29" s="8">
        <v>305</v>
      </c>
      <c r="R29" s="9" t="s">
        <v>1948</v>
      </c>
      <c r="S29" s="8"/>
      <c r="T29" s="8"/>
      <c r="U29" s="8"/>
    </row>
    <row r="30" spans="1:21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 t="s">
        <v>1949</v>
      </c>
      <c r="O30" s="9" t="s">
        <v>1950</v>
      </c>
      <c r="P30" s="8"/>
      <c r="Q30" s="8">
        <v>330</v>
      </c>
      <c r="R30" s="9" t="s">
        <v>1951</v>
      </c>
      <c r="S30" s="8"/>
      <c r="T30" s="8"/>
      <c r="U30" s="8"/>
    </row>
    <row r="31" spans="1:21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 t="s">
        <v>1952</v>
      </c>
      <c r="O31" s="9" t="s">
        <v>1950</v>
      </c>
      <c r="P31" s="8"/>
      <c r="Q31" s="8">
        <v>351</v>
      </c>
      <c r="R31" s="9" t="s">
        <v>1953</v>
      </c>
      <c r="S31" s="8"/>
      <c r="T31" s="8"/>
      <c r="U31" s="8"/>
    </row>
    <row r="32" spans="1:21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 t="s">
        <v>1954</v>
      </c>
      <c r="O32" s="9" t="s">
        <v>1955</v>
      </c>
      <c r="P32" s="8"/>
      <c r="Q32" s="8">
        <v>352</v>
      </c>
      <c r="R32" s="9" t="s">
        <v>1956</v>
      </c>
      <c r="S32" s="8"/>
      <c r="T32" s="8"/>
      <c r="U32" s="8"/>
    </row>
    <row r="33" spans="1:21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 t="s">
        <v>1957</v>
      </c>
      <c r="O33" s="9" t="s">
        <v>1958</v>
      </c>
      <c r="P33" s="8"/>
      <c r="Q33" s="8">
        <v>353</v>
      </c>
      <c r="R33" s="9" t="s">
        <v>1959</v>
      </c>
      <c r="S33" s="8"/>
      <c r="T33" s="8"/>
      <c r="U33" s="8"/>
    </row>
    <row r="34" spans="1:21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 t="s">
        <v>1960</v>
      </c>
      <c r="O34" s="8" t="s">
        <v>1961</v>
      </c>
      <c r="P34" s="8"/>
      <c r="Q34" s="8">
        <v>354</v>
      </c>
      <c r="R34" s="9" t="s">
        <v>1962</v>
      </c>
      <c r="S34" s="8"/>
      <c r="T34" s="8"/>
      <c r="U34" s="8"/>
    </row>
    <row r="35" spans="1:21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 t="s">
        <v>1963</v>
      </c>
      <c r="O35" s="9" t="s">
        <v>1964</v>
      </c>
      <c r="P35" s="8"/>
      <c r="Q35" s="8">
        <v>355</v>
      </c>
      <c r="R35" s="9" t="s">
        <v>1965</v>
      </c>
      <c r="S35" s="8"/>
      <c r="T35" s="8"/>
      <c r="U35" s="8"/>
    </row>
    <row r="36" spans="1:21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 t="s">
        <v>1966</v>
      </c>
      <c r="O36" s="9" t="s">
        <v>1967</v>
      </c>
      <c r="P36" s="8"/>
      <c r="Q36" s="8">
        <v>460</v>
      </c>
      <c r="R36" s="9" t="s">
        <v>1968</v>
      </c>
      <c r="S36" s="8"/>
      <c r="T36" s="8"/>
      <c r="U36" s="8"/>
    </row>
    <row r="37" spans="1:21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 t="s">
        <v>1969</v>
      </c>
      <c r="O37" s="9" t="s">
        <v>1970</v>
      </c>
      <c r="P37" s="8"/>
      <c r="Q37" s="8">
        <v>461</v>
      </c>
      <c r="R37" s="9" t="s">
        <v>1971</v>
      </c>
      <c r="S37" s="8"/>
      <c r="T37" s="8"/>
      <c r="U37" s="8"/>
    </row>
    <row r="38" spans="1:21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 t="s">
        <v>1972</v>
      </c>
      <c r="O38" s="9" t="s">
        <v>1973</v>
      </c>
      <c r="P38" s="8"/>
      <c r="Q38" s="8">
        <v>462</v>
      </c>
      <c r="R38" s="9" t="s">
        <v>1974</v>
      </c>
      <c r="S38" s="8"/>
      <c r="T38" s="8"/>
      <c r="U38" s="8"/>
    </row>
    <row r="39" spans="1:21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 t="s">
        <v>1975</v>
      </c>
      <c r="O39" s="8" t="s">
        <v>1976</v>
      </c>
      <c r="P39" s="8"/>
      <c r="Q39" s="8">
        <v>464</v>
      </c>
      <c r="R39" s="9" t="s">
        <v>1977</v>
      </c>
      <c r="S39" s="8"/>
      <c r="T39" s="8"/>
      <c r="U39" s="8"/>
    </row>
    <row r="40" spans="1:21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 t="s">
        <v>57</v>
      </c>
      <c r="O40" s="8" t="s">
        <v>1978</v>
      </c>
      <c r="P40" s="8"/>
      <c r="Q40" s="8">
        <v>470</v>
      </c>
      <c r="R40" s="9" t="s">
        <v>1979</v>
      </c>
      <c r="S40" s="8"/>
      <c r="T40" s="8"/>
      <c r="U40" s="8"/>
    </row>
    <row r="41" spans="1:21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 t="s">
        <v>1980</v>
      </c>
      <c r="O41" s="8" t="s">
        <v>1981</v>
      </c>
      <c r="P41" s="8"/>
      <c r="Q41" s="8">
        <v>471</v>
      </c>
      <c r="R41" s="9" t="s">
        <v>1982</v>
      </c>
      <c r="S41" s="8"/>
      <c r="T41" s="8"/>
      <c r="U41" s="8"/>
    </row>
    <row r="42" spans="1:21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 t="s">
        <v>1983</v>
      </c>
      <c r="O42" s="9" t="s">
        <v>1984</v>
      </c>
      <c r="P42" s="8"/>
      <c r="Q42" s="8">
        <v>480</v>
      </c>
      <c r="R42" s="9" t="s">
        <v>1985</v>
      </c>
      <c r="S42" s="8"/>
      <c r="T42" s="8"/>
      <c r="U42" s="8"/>
    </row>
    <row r="43" spans="1:21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 t="s">
        <v>1986</v>
      </c>
      <c r="O43" s="9" t="s">
        <v>1984</v>
      </c>
      <c r="P43" s="8"/>
      <c r="Q43" s="8">
        <v>481</v>
      </c>
      <c r="R43" s="9" t="s">
        <v>1987</v>
      </c>
      <c r="S43" s="8"/>
      <c r="T43" s="8"/>
      <c r="U43" s="8"/>
    </row>
    <row r="44" spans="1:21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 t="s">
        <v>1988</v>
      </c>
      <c r="O44" s="9" t="s">
        <v>1989</v>
      </c>
      <c r="P44" s="8"/>
      <c r="Q44" s="8">
        <v>482</v>
      </c>
      <c r="R44" s="9" t="s">
        <v>1990</v>
      </c>
      <c r="S44" s="8"/>
      <c r="T44" s="8"/>
      <c r="U44" s="8"/>
    </row>
    <row r="45" spans="1:21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 t="s">
        <v>1991</v>
      </c>
      <c r="O45" s="9" t="s">
        <v>1992</v>
      </c>
      <c r="P45" s="8"/>
      <c r="Q45" s="8">
        <v>483</v>
      </c>
      <c r="R45" s="9" t="s">
        <v>1993</v>
      </c>
      <c r="S45" s="8"/>
      <c r="T45" s="8"/>
      <c r="U45" s="8"/>
    </row>
    <row r="46" spans="1:21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>
        <v>484</v>
      </c>
      <c r="R46" s="9" t="s">
        <v>1993</v>
      </c>
      <c r="S46" s="8"/>
      <c r="T46" s="8"/>
      <c r="U46" s="8"/>
    </row>
    <row r="47" spans="1:21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>
        <v>485</v>
      </c>
      <c r="R47" s="9" t="s">
        <v>1994</v>
      </c>
      <c r="S47" s="8"/>
      <c r="T47" s="8"/>
      <c r="U47" s="8"/>
    </row>
    <row r="48" spans="1:21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>
        <v>486</v>
      </c>
      <c r="R48" s="9" t="s">
        <v>1995</v>
      </c>
      <c r="S48" s="8"/>
      <c r="T48" s="8"/>
      <c r="U48" s="8"/>
    </row>
    <row r="49" spans="1:21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>
        <v>500</v>
      </c>
      <c r="R49" s="9" t="s">
        <v>1996</v>
      </c>
      <c r="S49" s="8"/>
      <c r="T49" s="8"/>
      <c r="U49" s="8"/>
    </row>
    <row r="50" spans="1:21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>
        <v>501</v>
      </c>
      <c r="R50" s="9" t="s">
        <v>1997</v>
      </c>
      <c r="S50" s="8"/>
      <c r="T50" s="8"/>
      <c r="U50" s="8"/>
    </row>
    <row r="51" spans="1:21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>
        <v>502</v>
      </c>
      <c r="R51" s="9" t="s">
        <v>1998</v>
      </c>
      <c r="S51" s="8"/>
      <c r="T51" s="8"/>
      <c r="U51" s="8"/>
    </row>
    <row r="52" spans="1:21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>
        <v>503</v>
      </c>
      <c r="R52" s="9" t="s">
        <v>1999</v>
      </c>
      <c r="S52" s="8"/>
      <c r="T52" s="8"/>
      <c r="U52" s="8"/>
    </row>
    <row r="53" spans="1:21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>
        <v>504</v>
      </c>
      <c r="R53" s="9" t="s">
        <v>2000</v>
      </c>
      <c r="S53" s="8"/>
      <c r="T53" s="8"/>
      <c r="U53" s="8"/>
    </row>
    <row r="54" spans="1:2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>
        <v>505</v>
      </c>
      <c r="R54" s="9" t="s">
        <v>2001</v>
      </c>
      <c r="S54" s="8"/>
      <c r="T54" s="8"/>
      <c r="U54" s="8"/>
    </row>
    <row r="55" spans="1:21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>
        <v>506</v>
      </c>
      <c r="R55" s="9" t="s">
        <v>2002</v>
      </c>
      <c r="S55" s="8"/>
      <c r="T55" s="8"/>
      <c r="U55" s="8"/>
    </row>
    <row r="56" spans="1:21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>
        <v>507</v>
      </c>
      <c r="R56" s="9" t="s">
        <v>2003</v>
      </c>
      <c r="S56" s="8"/>
      <c r="T56" s="8"/>
      <c r="U56" s="8"/>
    </row>
    <row r="57" spans="1:21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>
        <v>508</v>
      </c>
      <c r="R57" s="9" t="s">
        <v>2004</v>
      </c>
      <c r="S57" s="8"/>
      <c r="T57" s="8"/>
      <c r="U57" s="8"/>
    </row>
    <row r="58" spans="1:21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>
        <v>509</v>
      </c>
      <c r="R58" s="9" t="s">
        <v>2005</v>
      </c>
      <c r="S58" s="8"/>
      <c r="T58" s="8"/>
      <c r="U58" s="8"/>
    </row>
    <row r="59" spans="1:21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>
        <v>510</v>
      </c>
      <c r="R59" s="9" t="s">
        <v>2006</v>
      </c>
      <c r="S59" s="8"/>
      <c r="T59" s="8"/>
      <c r="U59" s="8"/>
    </row>
    <row r="60" spans="1:21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>
        <v>511</v>
      </c>
      <c r="R60" s="9" t="s">
        <v>2007</v>
      </c>
      <c r="S60" s="8"/>
      <c r="T60" s="8"/>
      <c r="U60" s="8"/>
    </row>
    <row r="61" spans="1:21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>
        <v>530</v>
      </c>
      <c r="R61" s="9" t="s">
        <v>2008</v>
      </c>
      <c r="S61" s="8"/>
      <c r="T61" s="8"/>
      <c r="U61" s="8"/>
    </row>
    <row r="62" spans="1:21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>
        <v>550</v>
      </c>
      <c r="R62" s="9" t="s">
        <v>2009</v>
      </c>
      <c r="S62" s="8"/>
      <c r="T62" s="8"/>
      <c r="U62" s="8"/>
    </row>
    <row r="63" spans="1:21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>
        <v>551</v>
      </c>
      <c r="R63" s="9" t="s">
        <v>2010</v>
      </c>
      <c r="S63" s="8"/>
      <c r="T63" s="8"/>
      <c r="U63" s="8"/>
    </row>
    <row r="64" spans="1:21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>
        <v>555</v>
      </c>
      <c r="R64" s="9" t="s">
        <v>2011</v>
      </c>
      <c r="S64" s="8"/>
      <c r="T64" s="8"/>
      <c r="U64" s="8"/>
    </row>
    <row r="65" spans="1:21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>
        <v>560</v>
      </c>
      <c r="R65" s="9" t="s">
        <v>2012</v>
      </c>
      <c r="S65" s="8"/>
      <c r="T65" s="8"/>
      <c r="U65" s="8"/>
    </row>
    <row r="66" spans="1:21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>
        <v>561</v>
      </c>
      <c r="R66" s="9" t="s">
        <v>2013</v>
      </c>
      <c r="S66" s="8"/>
      <c r="T66" s="8"/>
      <c r="U66" s="8"/>
    </row>
    <row r="67" spans="1:21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>
        <v>562</v>
      </c>
      <c r="R67" s="9" t="s">
        <v>2014</v>
      </c>
      <c r="S67" s="8"/>
      <c r="T67" s="8"/>
      <c r="U67" s="8"/>
    </row>
    <row r="68" spans="1:21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>
        <v>563</v>
      </c>
      <c r="R68" s="9" t="s">
        <v>2015</v>
      </c>
      <c r="S68" s="8"/>
      <c r="T68" s="8"/>
      <c r="U68" s="8"/>
    </row>
    <row r="69" spans="1:21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>
        <v>600</v>
      </c>
      <c r="R69" s="9" t="s">
        <v>2016</v>
      </c>
      <c r="S69" s="8"/>
      <c r="T69" s="8"/>
      <c r="U69" s="8"/>
    </row>
    <row r="70" spans="1:21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>
        <v>601</v>
      </c>
      <c r="R70" s="9" t="s">
        <v>2017</v>
      </c>
      <c r="S70" s="8"/>
      <c r="T70" s="8"/>
      <c r="U70" s="8"/>
    </row>
    <row r="71" spans="1:21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>
        <v>602</v>
      </c>
      <c r="R71" s="9" t="s">
        <v>2018</v>
      </c>
      <c r="S71" s="8"/>
      <c r="T71" s="8"/>
      <c r="U71" s="8"/>
    </row>
    <row r="72" spans="1:21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>
        <v>620</v>
      </c>
      <c r="R72" s="9" t="s">
        <v>2019</v>
      </c>
      <c r="S72" s="8"/>
      <c r="T72" s="8"/>
      <c r="U72" s="8"/>
    </row>
    <row r="73" spans="1:21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>
        <v>631</v>
      </c>
      <c r="R73" s="9" t="s">
        <v>2020</v>
      </c>
      <c r="S73" s="8"/>
      <c r="T73" s="8"/>
      <c r="U73" s="8"/>
    </row>
    <row r="74" spans="1:21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>
        <v>650</v>
      </c>
      <c r="R74" s="9" t="s">
        <v>2021</v>
      </c>
      <c r="S74" s="8"/>
      <c r="T74" s="8"/>
      <c r="U74" s="8"/>
    </row>
    <row r="75" spans="1:21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>
        <v>651</v>
      </c>
      <c r="R75" s="9" t="s">
        <v>2022</v>
      </c>
      <c r="S75" s="8"/>
      <c r="T75" s="8"/>
      <c r="U75" s="8"/>
    </row>
    <row r="76" spans="1:21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>
        <v>652</v>
      </c>
      <c r="R76" s="9" t="s">
        <v>2023</v>
      </c>
      <c r="S76" s="8"/>
      <c r="T76" s="8"/>
      <c r="U76" s="8"/>
    </row>
    <row r="77" spans="1:21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>
        <v>653</v>
      </c>
      <c r="R77" s="9" t="s">
        <v>2024</v>
      </c>
      <c r="S77" s="8"/>
      <c r="T77" s="8"/>
      <c r="U77" s="8"/>
    </row>
    <row r="78" spans="1:21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>
        <v>655</v>
      </c>
      <c r="R78" s="9" t="s">
        <v>2025</v>
      </c>
      <c r="S78" s="8"/>
      <c r="T78" s="8"/>
      <c r="U78" s="8"/>
    </row>
    <row r="79" spans="1:21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>
        <v>670</v>
      </c>
      <c r="R79" s="9" t="s">
        <v>2026</v>
      </c>
      <c r="S79" s="8"/>
      <c r="T79" s="8"/>
      <c r="U79" s="8"/>
    </row>
    <row r="80" spans="1:21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>
        <v>680</v>
      </c>
      <c r="R80" s="9" t="s">
        <v>2027</v>
      </c>
      <c r="S80" s="8"/>
      <c r="T80" s="8"/>
      <c r="U80" s="8"/>
    </row>
    <row r="81" spans="1:21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>
        <v>700</v>
      </c>
      <c r="R81" s="9" t="s">
        <v>2028</v>
      </c>
      <c r="S81" s="8"/>
      <c r="T81" s="8"/>
      <c r="U81" s="8"/>
    </row>
    <row r="82" spans="1:21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>
        <v>701</v>
      </c>
      <c r="R82" s="9" t="s">
        <v>2029</v>
      </c>
      <c r="S82" s="8"/>
      <c r="T82" s="8"/>
      <c r="U82" s="8"/>
    </row>
    <row r="83" spans="1:21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>
        <v>702</v>
      </c>
      <c r="R83" s="9" t="s">
        <v>2030</v>
      </c>
      <c r="S83" s="8"/>
      <c r="T83" s="8"/>
      <c r="U83" s="8"/>
    </row>
    <row r="84" spans="1:21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>
        <v>703</v>
      </c>
      <c r="R84" s="9" t="s">
        <v>2031</v>
      </c>
      <c r="S84" s="8"/>
      <c r="T84" s="8"/>
      <c r="U84" s="8"/>
    </row>
    <row r="85" spans="1:21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>
        <v>704</v>
      </c>
      <c r="R85" s="9" t="s">
        <v>2032</v>
      </c>
      <c r="S85" s="8"/>
      <c r="T85" s="8"/>
      <c r="U85" s="8"/>
    </row>
    <row r="86" spans="1:21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>
        <v>800</v>
      </c>
      <c r="R86" s="9" t="s">
        <v>2033</v>
      </c>
      <c r="S86" s="8"/>
      <c r="T86" s="8"/>
      <c r="U86" s="8"/>
    </row>
    <row r="87" spans="1:21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>
        <v>801</v>
      </c>
      <c r="R87" s="9" t="s">
        <v>2034</v>
      </c>
      <c r="S87" s="8"/>
      <c r="T87" s="8"/>
      <c r="U87" s="8"/>
    </row>
    <row r="88" spans="1:21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>
        <v>850</v>
      </c>
      <c r="R88" s="9" t="s">
        <v>2035</v>
      </c>
      <c r="S88" s="8"/>
      <c r="T88" s="8"/>
      <c r="U88" s="8"/>
    </row>
    <row r="89" spans="1:21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9"/>
      <c r="S89" s="8"/>
      <c r="T89" s="8"/>
      <c r="U89" s="8"/>
    </row>
    <row r="90" spans="1:21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9"/>
      <c r="S90" s="8"/>
      <c r="T90" s="8"/>
      <c r="U90" s="8"/>
    </row>
    <row r="91" spans="1:21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9"/>
      <c r="S91" s="8"/>
      <c r="T91" s="8"/>
      <c r="U91" s="8"/>
    </row>
    <row r="92" spans="1:21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9"/>
      <c r="S92" s="8"/>
      <c r="T92" s="8"/>
      <c r="U92" s="8"/>
    </row>
    <row r="93" spans="1:21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9"/>
      <c r="S93" s="8"/>
      <c r="T93" s="8"/>
      <c r="U93" s="8"/>
    </row>
    <row r="94" spans="1:21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9"/>
      <c r="S94" s="8"/>
      <c r="T94" s="8"/>
      <c r="U94" s="8"/>
    </row>
    <row r="95" spans="1:21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9"/>
      <c r="S95" s="8"/>
      <c r="T95" s="8"/>
      <c r="U95" s="8"/>
    </row>
    <row r="96" spans="1:21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9"/>
      <c r="S96" s="8"/>
      <c r="T96" s="8"/>
      <c r="U96" s="8"/>
    </row>
    <row r="97" spans="1:21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9"/>
      <c r="S97" s="8"/>
      <c r="T97" s="8"/>
      <c r="U97" s="8"/>
    </row>
    <row r="98" spans="1:21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9"/>
      <c r="S98" s="8"/>
      <c r="T98" s="8"/>
      <c r="U98" s="8"/>
    </row>
    <row r="99" spans="1:21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9"/>
      <c r="S99" s="8"/>
      <c r="T99" s="8"/>
      <c r="U99" s="8"/>
    </row>
    <row r="100" spans="1:21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9"/>
      <c r="S100" s="8"/>
      <c r="T100" s="8"/>
      <c r="U100" s="8"/>
    </row>
    <row r="101" spans="1:21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9"/>
      <c r="S101" s="8"/>
      <c r="T101" s="8"/>
      <c r="U101" s="8"/>
    </row>
    <row r="102" spans="1:21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9"/>
      <c r="S102" s="8"/>
      <c r="T102" s="8"/>
      <c r="U102" s="8"/>
    </row>
    <row r="103" spans="1:21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9"/>
      <c r="S103" s="8"/>
      <c r="T103" s="8"/>
      <c r="U103" s="8"/>
    </row>
    <row r="104" spans="1:21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9"/>
      <c r="S104" s="8"/>
      <c r="T104" s="8"/>
      <c r="U104" s="8"/>
    </row>
    <row r="105" spans="1:21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9"/>
      <c r="S105" s="8"/>
      <c r="T105" s="8"/>
      <c r="U105" s="8"/>
    </row>
    <row r="106" spans="1:21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9"/>
      <c r="S106" s="8"/>
      <c r="T106" s="8"/>
      <c r="U106" s="8"/>
    </row>
    <row r="107" spans="1:21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9"/>
      <c r="S107" s="8"/>
      <c r="T107" s="8"/>
      <c r="U107" s="8"/>
    </row>
    <row r="108" spans="1:21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9"/>
      <c r="S108" s="8"/>
      <c r="T108" s="8"/>
      <c r="U108" s="8"/>
    </row>
    <row r="109" spans="1:21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9"/>
      <c r="S109" s="8"/>
      <c r="T109" s="8"/>
      <c r="U109" s="8"/>
    </row>
    <row r="110" spans="1:21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9"/>
      <c r="S110" s="8"/>
      <c r="T110" s="8"/>
      <c r="U110" s="8"/>
    </row>
    <row r="111" spans="1:21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9"/>
      <c r="S111" s="8"/>
      <c r="T111" s="8"/>
      <c r="U111" s="8"/>
    </row>
    <row r="112" spans="1:21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9"/>
      <c r="S112" s="8"/>
      <c r="T112" s="8"/>
      <c r="U112" s="8"/>
    </row>
    <row r="113" spans="1:21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9"/>
      <c r="S113" s="8"/>
      <c r="T113" s="8"/>
      <c r="U113" s="8"/>
    </row>
    <row r="114" spans="1:21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9"/>
      <c r="S114" s="8"/>
      <c r="T114" s="8"/>
      <c r="U114" s="8"/>
    </row>
    <row r="115" spans="1:21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9"/>
      <c r="S115" s="8"/>
      <c r="T115" s="8"/>
      <c r="U115" s="8"/>
    </row>
    <row r="116" spans="1:21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9"/>
      <c r="S116" s="8"/>
      <c r="T116" s="8"/>
      <c r="U116" s="8"/>
    </row>
    <row r="117" spans="1:21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9"/>
      <c r="S117" s="8"/>
      <c r="T117" s="8"/>
      <c r="U117" s="8"/>
    </row>
    <row r="118" spans="1:21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9"/>
      <c r="S118" s="8"/>
      <c r="T118" s="8"/>
      <c r="U118" s="8"/>
    </row>
    <row r="119" spans="1:21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9"/>
      <c r="S119" s="8"/>
      <c r="T119" s="8"/>
      <c r="U119" s="8"/>
    </row>
    <row r="120" spans="1:21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9"/>
      <c r="S120" s="8"/>
      <c r="T120" s="8"/>
      <c r="U120" s="8"/>
    </row>
    <row r="121" spans="1:21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9"/>
      <c r="S121" s="8"/>
      <c r="T121" s="8"/>
      <c r="U121" s="8"/>
    </row>
    <row r="122" spans="1:21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9"/>
      <c r="S122" s="8"/>
      <c r="T122" s="8"/>
      <c r="U122" s="8"/>
    </row>
    <row r="123" spans="1:21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9"/>
      <c r="S123" s="8"/>
      <c r="T123" s="8"/>
      <c r="U123" s="8"/>
    </row>
    <row r="124" spans="1:21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9"/>
      <c r="S124" s="8"/>
      <c r="T124" s="8"/>
      <c r="U124" s="8"/>
    </row>
    <row r="125" spans="1:21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9"/>
      <c r="S125" s="8"/>
      <c r="T125" s="8"/>
      <c r="U125" s="8"/>
    </row>
    <row r="126" spans="1:21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9"/>
      <c r="S126" s="8"/>
      <c r="T126" s="8"/>
      <c r="U126" s="8"/>
    </row>
    <row r="127" spans="1:21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9"/>
      <c r="S127" s="8"/>
      <c r="T127" s="8"/>
      <c r="U127" s="8"/>
    </row>
    <row r="128" spans="1:21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9"/>
      <c r="S128" s="8"/>
      <c r="T128" s="8"/>
      <c r="U128" s="8"/>
    </row>
    <row r="129" spans="1:21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9"/>
      <c r="S129" s="8"/>
      <c r="T129" s="8"/>
      <c r="U129" s="8"/>
    </row>
    <row r="130" spans="1:21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9"/>
      <c r="S130" s="8"/>
      <c r="T130" s="8"/>
      <c r="U130" s="8"/>
    </row>
    <row r="131" spans="1:21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9"/>
      <c r="S131" s="8"/>
      <c r="T131" s="8"/>
      <c r="U131" s="8"/>
    </row>
    <row r="132" spans="1:21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9"/>
      <c r="S132" s="8"/>
      <c r="T132" s="8"/>
      <c r="U132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 Submittal</vt:lpstr>
      <vt:lpstr>Sheet1</vt:lpstr>
      <vt:lpstr>2. Buzzi Admin Only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2026-03-16T17:13:52Z</dcterms:created>
  <dcterms:modified xsi:type="dcterms:W3CDTF">2026-04-15T20:06:48Z</dcterms:modified>
</cp:coreProperties>
</file>